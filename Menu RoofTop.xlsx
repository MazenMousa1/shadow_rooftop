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3789fbea0aaed1b3/Desktop/"/>
    </mc:Choice>
  </mc:AlternateContent>
  <xr:revisionPtr revIDLastSave="52" documentId="13_ncr:1_{227D0527-37FC-4483-9ED6-3B66B0E51822}" xr6:coauthVersionLast="47" xr6:coauthVersionMax="47" xr10:uidLastSave="{D65DD7FF-66D6-4E9B-8310-BB4764F83EE6}"/>
  <bookViews>
    <workbookView xWindow="-108" yWindow="-108" windowWidth="23256" windowHeight="12456" xr2:uid="{00000000-000D-0000-FFFF-FFFF00000000}"/>
  </bookViews>
  <sheets>
    <sheet name="Food" sheetId="1" r:id="rId1"/>
    <sheet name="Beverage" sheetId="2" r:id="rId2"/>
  </sheets>
  <definedNames>
    <definedName name="_xlnm.Print_Area" localSheetId="0">Food!$B$1:$L$92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1" l="1"/>
  <c r="H48" i="1"/>
  <c r="G48" i="1" s="1"/>
  <c r="F48" i="1" s="1"/>
  <c r="I47" i="1"/>
  <c r="H47" i="1" s="1"/>
  <c r="G47" i="1" s="1"/>
  <c r="F47" i="1" s="1"/>
  <c r="I45" i="1"/>
  <c r="H45" i="1" s="1"/>
  <c r="G45" i="1" s="1"/>
  <c r="F45" i="1" s="1"/>
  <c r="C1" i="1" a="1"/>
  <c r="C1" i="1" s="1"/>
  <c r="D1" i="1" a="1"/>
  <c r="D1" i="1" s="1"/>
  <c r="I42" i="1"/>
  <c r="H42" i="1" s="1"/>
  <c r="G42" i="1" s="1"/>
  <c r="F42" i="1" s="1"/>
  <c r="G146" i="2"/>
  <c r="G147" i="2"/>
  <c r="F147" i="2" s="1"/>
  <c r="E147" i="2" s="1"/>
  <c r="D147" i="2" s="1"/>
  <c r="G145" i="2"/>
  <c r="F145" i="2"/>
  <c r="E145" i="2" s="1"/>
  <c r="D145" i="2" s="1"/>
  <c r="F146" i="2"/>
  <c r="E146" i="2" s="1"/>
  <c r="D146" i="2" s="1"/>
  <c r="I8" i="1"/>
  <c r="H8" i="1" s="1"/>
  <c r="G8" i="1" s="1"/>
  <c r="F8" i="1" s="1"/>
  <c r="G143" i="2"/>
  <c r="F143" i="2"/>
  <c r="E143" i="2"/>
  <c r="D143" i="2" s="1"/>
  <c r="G137" i="2"/>
  <c r="F137" i="2" s="1"/>
  <c r="E137" i="2" s="1"/>
  <c r="D137" i="2" s="1"/>
  <c r="G141" i="2"/>
  <c r="F141" i="2" s="1"/>
  <c r="E141" i="2" s="1"/>
  <c r="D141" i="2" s="1"/>
  <c r="G139" i="2"/>
  <c r="F139" i="2" s="1"/>
  <c r="E139" i="2" s="1"/>
  <c r="D139" i="2" s="1"/>
  <c r="G138" i="2"/>
  <c r="F138" i="2" s="1"/>
  <c r="E138" i="2" s="1"/>
  <c r="D138" i="2" s="1"/>
  <c r="I31" i="1"/>
  <c r="H31" i="1" s="1"/>
  <c r="G31" i="1" s="1"/>
  <c r="F31" i="1" s="1"/>
  <c r="I32" i="1"/>
  <c r="H32" i="1" s="1"/>
  <c r="G32" i="1" s="1"/>
  <c r="F32" i="1" s="1"/>
  <c r="I30" i="1"/>
  <c r="H30" i="1" s="1"/>
  <c r="G30" i="1" s="1"/>
  <c r="F30" i="1" s="1"/>
  <c r="I7" i="1"/>
  <c r="H7" i="1" s="1"/>
  <c r="G7" i="1" s="1"/>
  <c r="F7" i="1" s="1"/>
  <c r="I80" i="1"/>
  <c r="I81" i="1"/>
  <c r="H81" i="1" s="1"/>
  <c r="G81" i="1" s="1"/>
  <c r="F81" i="1" s="1"/>
  <c r="I82" i="1"/>
  <c r="H82" i="1" s="1"/>
  <c r="G82" i="1" s="1"/>
  <c r="F82" i="1" s="1"/>
  <c r="I79" i="1"/>
  <c r="H79" i="1" s="1"/>
  <c r="G79" i="1" s="1"/>
  <c r="F79" i="1" s="1"/>
  <c r="I72" i="1"/>
  <c r="I73" i="1"/>
  <c r="I74" i="1"/>
  <c r="H74" i="1" s="1"/>
  <c r="G74" i="1" s="1"/>
  <c r="F74" i="1" s="1"/>
  <c r="I75" i="1"/>
  <c r="H75" i="1" s="1"/>
  <c r="G75" i="1" s="1"/>
  <c r="F75" i="1" s="1"/>
  <c r="I76" i="1"/>
  <c r="H76" i="1" s="1"/>
  <c r="G76" i="1" s="1"/>
  <c r="F76" i="1" s="1"/>
  <c r="I77" i="1"/>
  <c r="H77" i="1" s="1"/>
  <c r="G77" i="1" s="1"/>
  <c r="F77" i="1" s="1"/>
  <c r="I71" i="1"/>
  <c r="H71" i="1" s="1"/>
  <c r="G71" i="1" s="1"/>
  <c r="F71" i="1" s="1"/>
  <c r="I63" i="1"/>
  <c r="H63" i="1" s="1"/>
  <c r="G63" i="1" s="1"/>
  <c r="F63" i="1" s="1"/>
  <c r="I64" i="1"/>
  <c r="H64" i="1" s="1"/>
  <c r="G64" i="1" s="1"/>
  <c r="F64" i="1" s="1"/>
  <c r="I65" i="1"/>
  <c r="H65" i="1" s="1"/>
  <c r="G65" i="1" s="1"/>
  <c r="F65" i="1" s="1"/>
  <c r="I66" i="1"/>
  <c r="H66" i="1" s="1"/>
  <c r="G66" i="1" s="1"/>
  <c r="F66" i="1" s="1"/>
  <c r="I67" i="1"/>
  <c r="H67" i="1" s="1"/>
  <c r="G67" i="1" s="1"/>
  <c r="F67" i="1" s="1"/>
  <c r="I68" i="1"/>
  <c r="I69" i="1"/>
  <c r="H69" i="1" s="1"/>
  <c r="G69" i="1" s="1"/>
  <c r="F69" i="1" s="1"/>
  <c r="I62" i="1"/>
  <c r="H62" i="1" s="1"/>
  <c r="G62" i="1" s="1"/>
  <c r="F62" i="1" s="1"/>
  <c r="I53" i="1"/>
  <c r="H53" i="1" s="1"/>
  <c r="G53" i="1" s="1"/>
  <c r="F53" i="1" s="1"/>
  <c r="I54" i="1"/>
  <c r="H54" i="1" s="1"/>
  <c r="G54" i="1" s="1"/>
  <c r="F54" i="1" s="1"/>
  <c r="I55" i="1"/>
  <c r="I56" i="1"/>
  <c r="H56" i="1" s="1"/>
  <c r="G56" i="1" s="1"/>
  <c r="F56" i="1" s="1"/>
  <c r="I57" i="1"/>
  <c r="H57" i="1" s="1"/>
  <c r="G57" i="1" s="1"/>
  <c r="F57" i="1" s="1"/>
  <c r="I58" i="1"/>
  <c r="I59" i="1"/>
  <c r="I60" i="1"/>
  <c r="H60" i="1" s="1"/>
  <c r="G60" i="1" s="1"/>
  <c r="F60" i="1" s="1"/>
  <c r="I52" i="1"/>
  <c r="H52" i="1" s="1"/>
  <c r="G52" i="1" s="1"/>
  <c r="F52" i="1" s="1"/>
  <c r="I46" i="1"/>
  <c r="H46" i="1" s="1"/>
  <c r="G46" i="1" s="1"/>
  <c r="F46" i="1" s="1"/>
  <c r="I49" i="1"/>
  <c r="H49" i="1" s="1"/>
  <c r="G49" i="1" s="1"/>
  <c r="F49" i="1" s="1"/>
  <c r="I34" i="1"/>
  <c r="H34" i="1" s="1"/>
  <c r="G34" i="1" s="1"/>
  <c r="F34" i="1" s="1"/>
  <c r="I35" i="1"/>
  <c r="H35" i="1" s="1"/>
  <c r="G35" i="1" s="1"/>
  <c r="F35" i="1" s="1"/>
  <c r="I36" i="1"/>
  <c r="H36" i="1" s="1"/>
  <c r="G36" i="1" s="1"/>
  <c r="F36" i="1" s="1"/>
  <c r="I37" i="1"/>
  <c r="H37" i="1" s="1"/>
  <c r="G37" i="1" s="1"/>
  <c r="F37" i="1" s="1"/>
  <c r="I38" i="1"/>
  <c r="H38" i="1" s="1"/>
  <c r="G38" i="1" s="1"/>
  <c r="F38" i="1" s="1"/>
  <c r="I39" i="1"/>
  <c r="H39" i="1" s="1"/>
  <c r="G39" i="1" s="1"/>
  <c r="F39" i="1" s="1"/>
  <c r="I40" i="1"/>
  <c r="H40" i="1" s="1"/>
  <c r="G40" i="1" s="1"/>
  <c r="F40" i="1" s="1"/>
  <c r="I41" i="1"/>
  <c r="H41" i="1" s="1"/>
  <c r="G41" i="1" s="1"/>
  <c r="F41" i="1" s="1"/>
  <c r="I43" i="1"/>
  <c r="H43" i="1" s="1"/>
  <c r="G43" i="1" s="1"/>
  <c r="F43" i="1" s="1"/>
  <c r="I27" i="1"/>
  <c r="H27" i="1" s="1"/>
  <c r="G27" i="1" s="1"/>
  <c r="F27" i="1" s="1"/>
  <c r="I28" i="1"/>
  <c r="H28" i="1" s="1"/>
  <c r="G28" i="1" s="1"/>
  <c r="F28" i="1" s="1"/>
  <c r="I29" i="1"/>
  <c r="H29" i="1" s="1"/>
  <c r="G29" i="1" s="1"/>
  <c r="F29" i="1" s="1"/>
  <c r="I26" i="1"/>
  <c r="H26" i="1" s="1"/>
  <c r="G26" i="1" s="1"/>
  <c r="F26" i="1" s="1"/>
  <c r="I18" i="1"/>
  <c r="H18" i="1" s="1"/>
  <c r="G18" i="1" s="1"/>
  <c r="F18" i="1" s="1"/>
  <c r="I19" i="1"/>
  <c r="H19" i="1" s="1"/>
  <c r="G19" i="1" s="1"/>
  <c r="F19" i="1" s="1"/>
  <c r="I20" i="1"/>
  <c r="H20" i="1" s="1"/>
  <c r="G20" i="1" s="1"/>
  <c r="F20" i="1" s="1"/>
  <c r="I21" i="1"/>
  <c r="H21" i="1" s="1"/>
  <c r="G21" i="1" s="1"/>
  <c r="F21" i="1" s="1"/>
  <c r="I22" i="1"/>
  <c r="H22" i="1" s="1"/>
  <c r="G22" i="1" s="1"/>
  <c r="F22" i="1" s="1"/>
  <c r="I23" i="1"/>
  <c r="H23" i="1" s="1"/>
  <c r="G23" i="1" s="1"/>
  <c r="F23" i="1" s="1"/>
  <c r="I24" i="1"/>
  <c r="H24" i="1" s="1"/>
  <c r="G24" i="1" s="1"/>
  <c r="F24" i="1" s="1"/>
  <c r="I17" i="1"/>
  <c r="H17" i="1" s="1"/>
  <c r="G17" i="1" s="1"/>
  <c r="F17" i="1" s="1"/>
  <c r="I11" i="1"/>
  <c r="H11" i="1" s="1"/>
  <c r="G11" i="1" s="1"/>
  <c r="F11" i="1" s="1"/>
  <c r="I12" i="1"/>
  <c r="H12" i="1" s="1"/>
  <c r="G12" i="1" s="1"/>
  <c r="F12" i="1" s="1"/>
  <c r="I13" i="1"/>
  <c r="H13" i="1" s="1"/>
  <c r="G13" i="1" s="1"/>
  <c r="F13" i="1" s="1"/>
  <c r="I14" i="1"/>
  <c r="H14" i="1" s="1"/>
  <c r="G14" i="1" s="1"/>
  <c r="F14" i="1" s="1"/>
  <c r="I15" i="1"/>
  <c r="H15" i="1" s="1"/>
  <c r="G15" i="1" s="1"/>
  <c r="F15" i="1" s="1"/>
  <c r="I10" i="1"/>
  <c r="H10" i="1" s="1"/>
  <c r="G10" i="1" s="1"/>
  <c r="F10" i="1" s="1"/>
  <c r="I3" i="1"/>
  <c r="H3" i="1" s="1"/>
  <c r="G3" i="1" s="1"/>
  <c r="F3" i="1" s="1"/>
  <c r="I4" i="1"/>
  <c r="H4" i="1" s="1"/>
  <c r="G4" i="1" s="1"/>
  <c r="F4" i="1" s="1"/>
  <c r="I5" i="1"/>
  <c r="H5" i="1" s="1"/>
  <c r="G5" i="1" s="1"/>
  <c r="F5" i="1" s="1"/>
  <c r="I6" i="1"/>
  <c r="H6" i="1" s="1"/>
  <c r="G6" i="1" s="1"/>
  <c r="F6" i="1" s="1"/>
  <c r="I2" i="1"/>
  <c r="H2" i="1" s="1"/>
  <c r="G2" i="1" s="1"/>
  <c r="F2" i="1" s="1"/>
  <c r="G46" i="2"/>
  <c r="F46" i="2" s="1"/>
  <c r="E46" i="2" s="1"/>
  <c r="D46" i="2" s="1"/>
  <c r="G45" i="2"/>
  <c r="F45" i="2" s="1"/>
  <c r="E45" i="2" s="1"/>
  <c r="D45" i="2" s="1"/>
  <c r="G136" i="2"/>
  <c r="F136" i="2" s="1"/>
  <c r="E136" i="2" s="1"/>
  <c r="D136" i="2" s="1"/>
  <c r="G140" i="2"/>
  <c r="F140" i="2" s="1"/>
  <c r="E140" i="2" s="1"/>
  <c r="D140" i="2" s="1"/>
  <c r="G142" i="2"/>
  <c r="F142" i="2" s="1"/>
  <c r="E142" i="2" s="1"/>
  <c r="D142" i="2" s="1"/>
  <c r="G40" i="2"/>
  <c r="F40" i="2" s="1"/>
  <c r="E40" i="2" s="1"/>
  <c r="D40" i="2" s="1"/>
  <c r="G41" i="2"/>
  <c r="F41" i="2" s="1"/>
  <c r="E41" i="2" s="1"/>
  <c r="D41" i="2" s="1"/>
  <c r="G42" i="2"/>
  <c r="G43" i="2"/>
  <c r="G44" i="2"/>
  <c r="F44" i="2" s="1"/>
  <c r="E44" i="2" s="1"/>
  <c r="D44" i="2" s="1"/>
  <c r="G39" i="2"/>
  <c r="F39" i="2" s="1"/>
  <c r="E39" i="2" s="1"/>
  <c r="D39" i="2" s="1"/>
  <c r="G103" i="2"/>
  <c r="F103" i="2" s="1"/>
  <c r="E103" i="2" s="1"/>
  <c r="D103" i="2" s="1"/>
  <c r="G104" i="2"/>
  <c r="G105" i="2"/>
  <c r="F105" i="2" s="1"/>
  <c r="E105" i="2" s="1"/>
  <c r="D105" i="2" s="1"/>
  <c r="G106" i="2"/>
  <c r="F106" i="2" s="1"/>
  <c r="E106" i="2" s="1"/>
  <c r="D106" i="2" s="1"/>
  <c r="G107" i="2"/>
  <c r="F107" i="2" s="1"/>
  <c r="E107" i="2" s="1"/>
  <c r="D107" i="2" s="1"/>
  <c r="G108" i="2"/>
  <c r="F108" i="2" s="1"/>
  <c r="E108" i="2" s="1"/>
  <c r="D108" i="2" s="1"/>
  <c r="G110" i="2"/>
  <c r="F110" i="2" s="1"/>
  <c r="E110" i="2" s="1"/>
  <c r="D110" i="2" s="1"/>
  <c r="G111" i="2"/>
  <c r="G112" i="2"/>
  <c r="F112" i="2" s="1"/>
  <c r="E112" i="2" s="1"/>
  <c r="D112" i="2" s="1"/>
  <c r="G113" i="2"/>
  <c r="G114" i="2"/>
  <c r="F114" i="2" s="1"/>
  <c r="E114" i="2" s="1"/>
  <c r="D114" i="2" s="1"/>
  <c r="G115" i="2"/>
  <c r="G117" i="2"/>
  <c r="G118" i="2"/>
  <c r="F118" i="2" s="1"/>
  <c r="E118" i="2" s="1"/>
  <c r="D118" i="2" s="1"/>
  <c r="G119" i="2"/>
  <c r="F119" i="2" s="1"/>
  <c r="E119" i="2" s="1"/>
  <c r="D119" i="2" s="1"/>
  <c r="G120" i="2"/>
  <c r="F120" i="2" s="1"/>
  <c r="E120" i="2" s="1"/>
  <c r="D120" i="2" s="1"/>
  <c r="G121" i="2"/>
  <c r="F121" i="2" s="1"/>
  <c r="E121" i="2" s="1"/>
  <c r="D121" i="2" s="1"/>
  <c r="G122" i="2"/>
  <c r="G123" i="2"/>
  <c r="F123" i="2" s="1"/>
  <c r="E123" i="2" s="1"/>
  <c r="D123" i="2" s="1"/>
  <c r="G124" i="2"/>
  <c r="F124" i="2" s="1"/>
  <c r="E124" i="2" s="1"/>
  <c r="D124" i="2" s="1"/>
  <c r="G125" i="2"/>
  <c r="G127" i="2"/>
  <c r="F127" i="2" s="1"/>
  <c r="E127" i="2" s="1"/>
  <c r="D127" i="2" s="1"/>
  <c r="G128" i="2"/>
  <c r="F128" i="2" s="1"/>
  <c r="E128" i="2" s="1"/>
  <c r="D128" i="2" s="1"/>
  <c r="G129" i="2"/>
  <c r="F129" i="2" s="1"/>
  <c r="E129" i="2" s="1"/>
  <c r="D129" i="2" s="1"/>
  <c r="G130" i="2"/>
  <c r="F130" i="2" s="1"/>
  <c r="E130" i="2" s="1"/>
  <c r="D130" i="2" s="1"/>
  <c r="G131" i="2"/>
  <c r="F131" i="2" s="1"/>
  <c r="E131" i="2" s="1"/>
  <c r="D131" i="2" s="1"/>
  <c r="G132" i="2"/>
  <c r="F132" i="2" s="1"/>
  <c r="E132" i="2" s="1"/>
  <c r="D132" i="2" s="1"/>
  <c r="G133" i="2"/>
  <c r="F133" i="2" s="1"/>
  <c r="E133" i="2" s="1"/>
  <c r="D133" i="2" s="1"/>
  <c r="G134" i="2"/>
  <c r="G135" i="2"/>
  <c r="F135" i="2" s="1"/>
  <c r="E135" i="2" s="1"/>
  <c r="D135" i="2" s="1"/>
  <c r="G102" i="2"/>
  <c r="F102" i="2" s="1"/>
  <c r="E102" i="2" s="1"/>
  <c r="D102" i="2" s="1"/>
  <c r="G85" i="2"/>
  <c r="F85" i="2" s="1"/>
  <c r="E85" i="2" s="1"/>
  <c r="D85" i="2" s="1"/>
  <c r="G86" i="2"/>
  <c r="F86" i="2" s="1"/>
  <c r="E86" i="2" s="1"/>
  <c r="D86" i="2" s="1"/>
  <c r="G87" i="2"/>
  <c r="F87" i="2" s="1"/>
  <c r="E87" i="2" s="1"/>
  <c r="D87" i="2" s="1"/>
  <c r="G88" i="2"/>
  <c r="G89" i="2"/>
  <c r="F89" i="2" s="1"/>
  <c r="E89" i="2" s="1"/>
  <c r="D89" i="2" s="1"/>
  <c r="G90" i="2"/>
  <c r="F90" i="2" s="1"/>
  <c r="E90" i="2" s="1"/>
  <c r="D90" i="2" s="1"/>
  <c r="G91" i="2"/>
  <c r="F91" i="2" s="1"/>
  <c r="E91" i="2" s="1"/>
  <c r="D91" i="2" s="1"/>
  <c r="G92" i="2"/>
  <c r="F92" i="2" s="1"/>
  <c r="E92" i="2" s="1"/>
  <c r="D92" i="2" s="1"/>
  <c r="G93" i="2"/>
  <c r="F93" i="2" s="1"/>
  <c r="E93" i="2" s="1"/>
  <c r="D93" i="2" s="1"/>
  <c r="G94" i="2"/>
  <c r="F94" i="2" s="1"/>
  <c r="E94" i="2" s="1"/>
  <c r="D94" i="2" s="1"/>
  <c r="G95" i="2"/>
  <c r="G96" i="2"/>
  <c r="F96" i="2" s="1"/>
  <c r="E96" i="2" s="1"/>
  <c r="D96" i="2" s="1"/>
  <c r="G97" i="2"/>
  <c r="G98" i="2"/>
  <c r="F98" i="2" s="1"/>
  <c r="E98" i="2" s="1"/>
  <c r="D98" i="2" s="1"/>
  <c r="G99" i="2"/>
  <c r="F99" i="2" s="1"/>
  <c r="E99" i="2" s="1"/>
  <c r="D99" i="2" s="1"/>
  <c r="G100" i="2"/>
  <c r="F100" i="2" s="1"/>
  <c r="E100" i="2" s="1"/>
  <c r="D100" i="2" s="1"/>
  <c r="G84" i="2"/>
  <c r="F84" i="2" s="1"/>
  <c r="E84" i="2" s="1"/>
  <c r="D84" i="2" s="1"/>
  <c r="G71" i="2"/>
  <c r="F71" i="2" s="1"/>
  <c r="E71" i="2" s="1"/>
  <c r="D71" i="2" s="1"/>
  <c r="G72" i="2"/>
  <c r="F72" i="2" s="1"/>
  <c r="E72" i="2" s="1"/>
  <c r="D72" i="2" s="1"/>
  <c r="G73" i="2"/>
  <c r="F73" i="2" s="1"/>
  <c r="E73" i="2" s="1"/>
  <c r="D73" i="2" s="1"/>
  <c r="G74" i="2"/>
  <c r="F74" i="2" s="1"/>
  <c r="E74" i="2" s="1"/>
  <c r="D74" i="2" s="1"/>
  <c r="G75" i="2"/>
  <c r="F75" i="2" s="1"/>
  <c r="E75" i="2" s="1"/>
  <c r="D75" i="2" s="1"/>
  <c r="G76" i="2"/>
  <c r="F76" i="2" s="1"/>
  <c r="E76" i="2" s="1"/>
  <c r="D76" i="2" s="1"/>
  <c r="G77" i="2"/>
  <c r="F77" i="2" s="1"/>
  <c r="E77" i="2" s="1"/>
  <c r="D77" i="2" s="1"/>
  <c r="G78" i="2"/>
  <c r="F78" i="2" s="1"/>
  <c r="E78" i="2" s="1"/>
  <c r="D78" i="2" s="1"/>
  <c r="G79" i="2"/>
  <c r="F79" i="2" s="1"/>
  <c r="E79" i="2" s="1"/>
  <c r="D79" i="2" s="1"/>
  <c r="G80" i="2"/>
  <c r="G81" i="2"/>
  <c r="F81" i="2" s="1"/>
  <c r="E81" i="2" s="1"/>
  <c r="D81" i="2" s="1"/>
  <c r="G70" i="2"/>
  <c r="F70" i="2" s="1"/>
  <c r="E70" i="2" s="1"/>
  <c r="D70" i="2" s="1"/>
  <c r="G49" i="2"/>
  <c r="F49" i="2" s="1"/>
  <c r="E49" i="2" s="1"/>
  <c r="D49" i="2" s="1"/>
  <c r="G50" i="2"/>
  <c r="F50" i="2" s="1"/>
  <c r="E50" i="2" s="1"/>
  <c r="D50" i="2" s="1"/>
  <c r="G51" i="2"/>
  <c r="F51" i="2" s="1"/>
  <c r="E51" i="2" s="1"/>
  <c r="D51" i="2" s="1"/>
  <c r="G52" i="2"/>
  <c r="G53" i="2"/>
  <c r="F53" i="2" s="1"/>
  <c r="E53" i="2" s="1"/>
  <c r="D53" i="2" s="1"/>
  <c r="G54" i="2"/>
  <c r="F54" i="2" s="1"/>
  <c r="E54" i="2" s="1"/>
  <c r="D54" i="2" s="1"/>
  <c r="G55" i="2"/>
  <c r="F55" i="2" s="1"/>
  <c r="E55" i="2" s="1"/>
  <c r="D55" i="2" s="1"/>
  <c r="G56" i="2"/>
  <c r="F56" i="2" s="1"/>
  <c r="E56" i="2" s="1"/>
  <c r="D56" i="2" s="1"/>
  <c r="G57" i="2"/>
  <c r="F57" i="2" s="1"/>
  <c r="E57" i="2" s="1"/>
  <c r="D57" i="2" s="1"/>
  <c r="G48" i="2"/>
  <c r="F48" i="2" s="1"/>
  <c r="E48" i="2" s="1"/>
  <c r="D48" i="2" s="1"/>
  <c r="F42" i="2"/>
  <c r="E42" i="2" s="1"/>
  <c r="D42" i="2" s="1"/>
  <c r="G13" i="2"/>
  <c r="G14" i="2"/>
  <c r="F14" i="2" s="1"/>
  <c r="E14" i="2" s="1"/>
  <c r="D14" i="2" s="1"/>
  <c r="G15" i="2"/>
  <c r="F15" i="2" s="1"/>
  <c r="E15" i="2" s="1"/>
  <c r="D15" i="2" s="1"/>
  <c r="G16" i="2"/>
  <c r="F16" i="2" s="1"/>
  <c r="E16" i="2" s="1"/>
  <c r="D16" i="2" s="1"/>
  <c r="G17" i="2"/>
  <c r="G18" i="2"/>
  <c r="G19" i="2"/>
  <c r="F19" i="2" s="1"/>
  <c r="E19" i="2" s="1"/>
  <c r="D19" i="2" s="1"/>
  <c r="G20" i="2"/>
  <c r="F20" i="2" s="1"/>
  <c r="E20" i="2" s="1"/>
  <c r="D20" i="2" s="1"/>
  <c r="G21" i="2"/>
  <c r="F21" i="2" s="1"/>
  <c r="E21" i="2" s="1"/>
  <c r="D21" i="2" s="1"/>
  <c r="G22" i="2"/>
  <c r="F22" i="2" s="1"/>
  <c r="E22" i="2" s="1"/>
  <c r="D22" i="2" s="1"/>
  <c r="G23" i="2"/>
  <c r="F23" i="2" s="1"/>
  <c r="E23" i="2" s="1"/>
  <c r="D23" i="2" s="1"/>
  <c r="G24" i="2"/>
  <c r="F24" i="2" s="1"/>
  <c r="E24" i="2" s="1"/>
  <c r="D24" i="2" s="1"/>
  <c r="G25" i="2"/>
  <c r="F25" i="2" s="1"/>
  <c r="E25" i="2" s="1"/>
  <c r="D25" i="2" s="1"/>
  <c r="G26" i="2"/>
  <c r="F26" i="2" s="1"/>
  <c r="E26" i="2" s="1"/>
  <c r="D26" i="2" s="1"/>
  <c r="G27" i="2"/>
  <c r="F27" i="2" s="1"/>
  <c r="E27" i="2" s="1"/>
  <c r="D27" i="2" s="1"/>
  <c r="G28" i="2"/>
  <c r="F28" i="2" s="1"/>
  <c r="E28" i="2" s="1"/>
  <c r="D28" i="2" s="1"/>
  <c r="G29" i="2"/>
  <c r="F29" i="2" s="1"/>
  <c r="E29" i="2" s="1"/>
  <c r="D29" i="2" s="1"/>
  <c r="G30" i="2"/>
  <c r="F30" i="2" s="1"/>
  <c r="E30" i="2" s="1"/>
  <c r="D30" i="2" s="1"/>
  <c r="G31" i="2"/>
  <c r="G32" i="2"/>
  <c r="F32" i="2" s="1"/>
  <c r="E32" i="2" s="1"/>
  <c r="D32" i="2" s="1"/>
  <c r="G33" i="2"/>
  <c r="F33" i="2" s="1"/>
  <c r="E33" i="2" s="1"/>
  <c r="D33" i="2" s="1"/>
  <c r="G34" i="2"/>
  <c r="G35" i="2"/>
  <c r="F35" i="2" s="1"/>
  <c r="E35" i="2" s="1"/>
  <c r="D35" i="2" s="1"/>
  <c r="G12" i="2"/>
  <c r="F12" i="2" s="1"/>
  <c r="E12" i="2" s="1"/>
  <c r="D12" i="2" s="1"/>
  <c r="E17" i="2"/>
  <c r="D17" i="2" s="1"/>
  <c r="D18" i="2"/>
  <c r="E18" i="2"/>
  <c r="E36" i="2"/>
  <c r="D36" i="2" s="1"/>
  <c r="E37" i="2"/>
  <c r="D37" i="2" s="1"/>
  <c r="E68" i="2"/>
  <c r="D68" i="2" s="1"/>
  <c r="E82" i="2"/>
  <c r="D82" i="2" s="1"/>
  <c r="E115" i="2"/>
  <c r="D115" i="2" s="1"/>
  <c r="E122" i="2"/>
  <c r="D122" i="2" s="1"/>
  <c r="G51" i="1"/>
  <c r="F51" i="1" s="1"/>
  <c r="G55" i="1"/>
  <c r="F55" i="1" s="1"/>
  <c r="G59" i="1"/>
  <c r="F59" i="1" s="1"/>
  <c r="G68" i="1"/>
  <c r="F68" i="1" s="1"/>
  <c r="G72" i="1"/>
  <c r="F72" i="1" s="1"/>
  <c r="G73" i="1"/>
  <c r="F73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H80" i="1"/>
  <c r="G80" i="1" s="1"/>
  <c r="F80" i="1" s="1"/>
  <c r="I51" i="1"/>
  <c r="F134" i="2"/>
  <c r="E134" i="2" s="1"/>
  <c r="D134" i="2" s="1"/>
  <c r="F125" i="2"/>
  <c r="E125" i="2" s="1"/>
  <c r="D125" i="2" s="1"/>
  <c r="F117" i="2"/>
  <c r="E117" i="2" s="1"/>
  <c r="D117" i="2" s="1"/>
  <c r="F113" i="2"/>
  <c r="E113" i="2" s="1"/>
  <c r="D113" i="2" s="1"/>
  <c r="F111" i="2"/>
  <c r="E111" i="2" s="1"/>
  <c r="D111" i="2" s="1"/>
  <c r="F104" i="2"/>
  <c r="E104" i="2" s="1"/>
  <c r="D104" i="2" s="1"/>
  <c r="F97" i="2"/>
  <c r="E97" i="2" s="1"/>
  <c r="D97" i="2" s="1"/>
  <c r="F95" i="2"/>
  <c r="E95" i="2" s="1"/>
  <c r="D95" i="2" s="1"/>
  <c r="F88" i="2"/>
  <c r="E88" i="2" s="1"/>
  <c r="D88" i="2" s="1"/>
  <c r="G82" i="2"/>
  <c r="F80" i="2"/>
  <c r="E80" i="2" s="1"/>
  <c r="D80" i="2" s="1"/>
  <c r="G68" i="2"/>
  <c r="G67" i="2"/>
  <c r="F67" i="2" s="1"/>
  <c r="E67" i="2" s="1"/>
  <c r="D67" i="2" s="1"/>
  <c r="G66" i="2"/>
  <c r="F66" i="2" s="1"/>
  <c r="E66" i="2" s="1"/>
  <c r="D66" i="2" s="1"/>
  <c r="G65" i="2"/>
  <c r="F65" i="2" s="1"/>
  <c r="E65" i="2" s="1"/>
  <c r="D65" i="2" s="1"/>
  <c r="G64" i="2"/>
  <c r="F64" i="2" s="1"/>
  <c r="E64" i="2" s="1"/>
  <c r="D64" i="2" s="1"/>
  <c r="G63" i="2"/>
  <c r="F63" i="2" s="1"/>
  <c r="E63" i="2" s="1"/>
  <c r="D63" i="2" s="1"/>
  <c r="G62" i="2"/>
  <c r="F62" i="2" s="1"/>
  <c r="E62" i="2" s="1"/>
  <c r="D62" i="2" s="1"/>
  <c r="G61" i="2"/>
  <c r="F61" i="2" s="1"/>
  <c r="E61" i="2" s="1"/>
  <c r="D61" i="2" s="1"/>
  <c r="G60" i="2"/>
  <c r="F60" i="2" s="1"/>
  <c r="E60" i="2" s="1"/>
  <c r="D60" i="2" s="1"/>
  <c r="G59" i="2"/>
  <c r="F59" i="2" s="1"/>
  <c r="E59" i="2" s="1"/>
  <c r="D59" i="2" s="1"/>
  <c r="F52" i="2"/>
  <c r="E52" i="2" s="1"/>
  <c r="D52" i="2" s="1"/>
  <c r="F43" i="2"/>
  <c r="E43" i="2" s="1"/>
  <c r="D43" i="2" s="1"/>
  <c r="G37" i="2"/>
  <c r="G36" i="2"/>
  <c r="F34" i="2"/>
  <c r="E34" i="2" s="1"/>
  <c r="D34" i="2" s="1"/>
  <c r="F31" i="2"/>
  <c r="E31" i="2" s="1"/>
  <c r="D31" i="2" s="1"/>
  <c r="F13" i="2"/>
  <c r="E13" i="2" s="1"/>
  <c r="D13" i="2" s="1"/>
  <c r="I83" i="1"/>
  <c r="I84" i="1"/>
  <c r="I85" i="1"/>
  <c r="I86" i="1"/>
  <c r="I88" i="1"/>
  <c r="I89" i="1"/>
  <c r="I90" i="1"/>
  <c r="I91" i="1"/>
  <c r="I92" i="1"/>
  <c r="H58" i="1"/>
  <c r="G58" i="1" s="1"/>
  <c r="F5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<sst xmlns="http://schemas.openxmlformats.org/spreadsheetml/2006/main" count="940" uniqueCount="708">
  <si>
    <t>Club Sandwich</t>
  </si>
  <si>
    <t>Appetizers</t>
  </si>
  <si>
    <t>Chicken Strips</t>
  </si>
  <si>
    <t>Mozzarella Sticks</t>
  </si>
  <si>
    <t>Soup</t>
  </si>
  <si>
    <t>Onion Soup</t>
  </si>
  <si>
    <t>Creamy Chicken Soup</t>
  </si>
  <si>
    <t>Salad</t>
  </si>
  <si>
    <t>Chicken Avocado Salad</t>
  </si>
  <si>
    <t>Beef Apple Salad</t>
  </si>
  <si>
    <t>Grilled Chicken</t>
  </si>
  <si>
    <t>Chicken Pesto</t>
  </si>
  <si>
    <t>Chicken Parmesan</t>
  </si>
  <si>
    <t>Beef Main Course</t>
  </si>
  <si>
    <t>Grilled Beef Fillet</t>
  </si>
  <si>
    <t>Beef Stroganoff</t>
  </si>
  <si>
    <t>Pasta</t>
  </si>
  <si>
    <t>Four Cheese Pasta</t>
  </si>
  <si>
    <t>Chicken Alfredo Pasta</t>
  </si>
  <si>
    <t>Chicken Pesto Pasta</t>
  </si>
  <si>
    <t>Pizza</t>
  </si>
  <si>
    <t>Salami Pizza</t>
  </si>
  <si>
    <t>Chicken BBQ Pizza</t>
  </si>
  <si>
    <t>Four Cheese Pizza</t>
  </si>
  <si>
    <t>Tuna Pizza</t>
  </si>
  <si>
    <t>Four Seasons Pizza</t>
  </si>
  <si>
    <t>Classic Burger</t>
  </si>
  <si>
    <t>Sandwich</t>
  </si>
  <si>
    <t>Chicken Fajita Sandwich</t>
  </si>
  <si>
    <t>Beef Mushroom Sandwich</t>
  </si>
  <si>
    <t>Food Extras</t>
  </si>
  <si>
    <t>Extra Cheese</t>
  </si>
  <si>
    <t>Extra French Fries</t>
  </si>
  <si>
    <t>Extra Mushroom</t>
  </si>
  <si>
    <t>Extra Cheese Fries</t>
  </si>
  <si>
    <t>Latte</t>
  </si>
  <si>
    <t>Mochaccino</t>
  </si>
  <si>
    <t>American Coffee</t>
  </si>
  <si>
    <t>Anti-Flu</t>
  </si>
  <si>
    <t>Coca Cola</t>
  </si>
  <si>
    <t>Coca Cola Zero</t>
  </si>
  <si>
    <t>Sprite</t>
  </si>
  <si>
    <t>Fanta</t>
  </si>
  <si>
    <t>Fresh  Juice</t>
  </si>
  <si>
    <t>Banana Milk</t>
  </si>
  <si>
    <t>Guava</t>
  </si>
  <si>
    <t>Guava Mint</t>
  </si>
  <si>
    <t>Kiwi</t>
  </si>
  <si>
    <t>Lemon</t>
  </si>
  <si>
    <t>Lemon Milk</t>
  </si>
  <si>
    <t>Lemon Mint</t>
  </si>
  <si>
    <t>Mango</t>
  </si>
  <si>
    <t>Orange</t>
  </si>
  <si>
    <t>Strawberry</t>
  </si>
  <si>
    <t>Cocktails</t>
  </si>
  <si>
    <t>Crazy Mango</t>
  </si>
  <si>
    <t>Florida</t>
  </si>
  <si>
    <t>Happy Cocktail</t>
  </si>
  <si>
    <t>Hawaii</t>
  </si>
  <si>
    <t>Lemobana</t>
  </si>
  <si>
    <t>Mangobana</t>
  </si>
  <si>
    <t>Mangomint</t>
  </si>
  <si>
    <t>Healthy</t>
  </si>
  <si>
    <t>Avomango</t>
  </si>
  <si>
    <t>Nuclear Hulk</t>
  </si>
  <si>
    <t>Orange Carrots</t>
  </si>
  <si>
    <t xml:space="preserve">Strawberry Rocca </t>
  </si>
  <si>
    <t>Power Cocktail</t>
  </si>
  <si>
    <t>Tropicana</t>
  </si>
  <si>
    <t>Frappe</t>
  </si>
  <si>
    <t>Frappuccino Classic</t>
  </si>
  <si>
    <t>Frappe Flavours</t>
  </si>
  <si>
    <t>Frappe Chocolate</t>
  </si>
  <si>
    <t>Frappe Mocha Nuts</t>
  </si>
  <si>
    <t>Frappuccino Mocha</t>
  </si>
  <si>
    <t>Granita</t>
  </si>
  <si>
    <t xml:space="preserve">ice Latte </t>
  </si>
  <si>
    <t xml:space="preserve">ice Mocha </t>
  </si>
  <si>
    <t>ice Tea</t>
  </si>
  <si>
    <t>Tea</t>
  </si>
  <si>
    <t>Soda</t>
  </si>
  <si>
    <t>Shakes</t>
  </si>
  <si>
    <t>Dessert</t>
  </si>
  <si>
    <t>American Soda</t>
  </si>
  <si>
    <t>Orange Soda</t>
  </si>
  <si>
    <t>Blue Orange Soda</t>
  </si>
  <si>
    <t>Grape Kiwi Soda</t>
  </si>
  <si>
    <t>RedBull Mojito</t>
  </si>
  <si>
    <t>RedBull Strawberry Soda</t>
  </si>
  <si>
    <t>RedBull Cherry</t>
  </si>
  <si>
    <t>Brownies</t>
  </si>
  <si>
    <t>Cheese Cake</t>
  </si>
  <si>
    <t>Molten Ice Cream</t>
  </si>
  <si>
    <t>Oreo Madness</t>
  </si>
  <si>
    <t xml:space="preserve">Chocolate Cake </t>
  </si>
  <si>
    <t>Ice Cream 3 Scoops</t>
  </si>
  <si>
    <t>Banana Split</t>
  </si>
  <si>
    <t>Cheese Cake Lotus</t>
  </si>
  <si>
    <t>Cheese Madness</t>
  </si>
  <si>
    <t>Oriental Breakfast</t>
  </si>
  <si>
    <t xml:space="preserve">افطار </t>
  </si>
  <si>
    <t>اومليت</t>
  </si>
  <si>
    <t>المكونات</t>
  </si>
  <si>
    <t>Ingredients</t>
  </si>
  <si>
    <t>Price</t>
  </si>
  <si>
    <t>كلوب ساندويتش</t>
  </si>
  <si>
    <t>توست بالتركي و الجبن</t>
  </si>
  <si>
    <t>Creamy Mushroom Soup</t>
  </si>
  <si>
    <t>Lentil Soup</t>
  </si>
  <si>
    <t>Orzo Soup</t>
  </si>
  <si>
    <t>Vegetable Soup</t>
  </si>
  <si>
    <t>Tahina Salad</t>
  </si>
  <si>
    <t>Oriental Salad</t>
  </si>
  <si>
    <t>Chicken Shish</t>
  </si>
  <si>
    <t>Mix Grill</t>
  </si>
  <si>
    <t xml:space="preserve">Chicken Main Course </t>
  </si>
  <si>
    <t>Spaghetti Bolognese</t>
  </si>
  <si>
    <t>Nescafe</t>
  </si>
  <si>
    <t>Hot Chocolate</t>
  </si>
  <si>
    <t>Virgin Mojito</t>
  </si>
  <si>
    <t>شوربة البصل</t>
  </si>
  <si>
    <t>شوربة كريمة بالمشروم</t>
  </si>
  <si>
    <t>شوربة عدس</t>
  </si>
  <si>
    <t>شوربة لسان عصفور</t>
  </si>
  <si>
    <t>شوربة خضار</t>
  </si>
  <si>
    <t>شوربة</t>
  </si>
  <si>
    <t>مقبلات</t>
  </si>
  <si>
    <t>تشكن استربس</t>
  </si>
  <si>
    <t>اصابع موتزريلا</t>
  </si>
  <si>
    <t>كاساديا خضار</t>
  </si>
  <si>
    <t>Vegetable Quesdilla</t>
  </si>
  <si>
    <t>سمبوسك جبنة ( 4 قطع )</t>
  </si>
  <si>
    <t>سمبوسك لحمة ( 4 قطع )</t>
  </si>
  <si>
    <t>سلطة</t>
  </si>
  <si>
    <t>سلطة يوناني</t>
  </si>
  <si>
    <t xml:space="preserve">سلطة لحم بالتفاح </t>
  </si>
  <si>
    <t>سلطة طحينة</t>
  </si>
  <si>
    <t>سلطة بابا غنوج</t>
  </si>
  <si>
    <t>سلطة بلدي</t>
  </si>
  <si>
    <t>فراخ شيش</t>
  </si>
  <si>
    <t>فراخ مسحب</t>
  </si>
  <si>
    <t>ميكس جريل</t>
  </si>
  <si>
    <t>اطباق الفراخ الرئيسية</t>
  </si>
  <si>
    <t>اطباق اللحوم الرئيسية</t>
  </si>
  <si>
    <t>دجاج مشوي</t>
  </si>
  <si>
    <t xml:space="preserve">دجاج بيستو </t>
  </si>
  <si>
    <t>دجاج كوردون بلو</t>
  </si>
  <si>
    <t>دجاج بارميزان</t>
  </si>
  <si>
    <t>دجاج و جمبري بالكاري</t>
  </si>
  <si>
    <t>دجاج سويت اند ساور</t>
  </si>
  <si>
    <t>شوربة كريمة بالدجاج</t>
  </si>
  <si>
    <t>لحم الفيليه المشوي</t>
  </si>
  <si>
    <t>لحم الريب اي المشوي</t>
  </si>
  <si>
    <t>لحم استرجانوف</t>
  </si>
  <si>
    <t xml:space="preserve">كشري </t>
  </si>
  <si>
    <t>اسباجتي بولونيز</t>
  </si>
  <si>
    <t xml:space="preserve">ارابياتا </t>
  </si>
  <si>
    <t>باربكيو</t>
  </si>
  <si>
    <t>مكرونة</t>
  </si>
  <si>
    <t>فور تشيز</t>
  </si>
  <si>
    <t>الفريدو</t>
  </si>
  <si>
    <t>بيستو - دجاج</t>
  </si>
  <si>
    <t>بيستو - جمبري</t>
  </si>
  <si>
    <t xml:space="preserve">سي فود </t>
  </si>
  <si>
    <t>بيتزا</t>
  </si>
  <si>
    <t>مارجريتا</t>
  </si>
  <si>
    <t>فيجيتريان</t>
  </si>
  <si>
    <t>سلامي</t>
  </si>
  <si>
    <t>تونة</t>
  </si>
  <si>
    <t>جمبري</t>
  </si>
  <si>
    <t>فورسيزون</t>
  </si>
  <si>
    <t>كلاسيك برجر</t>
  </si>
  <si>
    <t>ستيك برجر</t>
  </si>
  <si>
    <t>ساندويتش</t>
  </si>
  <si>
    <t>Shish Tawook Sandwich</t>
  </si>
  <si>
    <t>حواوشي</t>
  </si>
  <si>
    <t>كوردون بلو ساندويتش</t>
  </si>
  <si>
    <t>شيش طاووق ساندويتش</t>
  </si>
  <si>
    <t>فاهيتا ساندويتش</t>
  </si>
  <si>
    <t>بيف مشروم ساندويتش</t>
  </si>
  <si>
    <t xml:space="preserve">اضافات </t>
  </si>
  <si>
    <t>اضافة جبنة</t>
  </si>
  <si>
    <t>اضافة صوص</t>
  </si>
  <si>
    <t>اضافة فرايز</t>
  </si>
  <si>
    <t>اضافة بطاطس مهروسة</t>
  </si>
  <si>
    <t>اضافة مشروم</t>
  </si>
  <si>
    <t>اضافة ارز</t>
  </si>
  <si>
    <t>اضافة خضار سوتيه</t>
  </si>
  <si>
    <t>اضافة كاليماري</t>
  </si>
  <si>
    <t>اضافة لحوم باردة</t>
  </si>
  <si>
    <t>اضافة مكرونة</t>
  </si>
  <si>
    <t>اضافة دجاج</t>
  </si>
  <si>
    <t>اضافة جمبري</t>
  </si>
  <si>
    <t>اضافة لحم</t>
  </si>
  <si>
    <t>المشروبات الساخنة</t>
  </si>
  <si>
    <t>شاي</t>
  </si>
  <si>
    <t xml:space="preserve">شاي اخضر </t>
  </si>
  <si>
    <t>قهوة تركي</t>
  </si>
  <si>
    <t>قهوة تركي دوبل</t>
  </si>
  <si>
    <t>قهوة فرنساوي</t>
  </si>
  <si>
    <t xml:space="preserve">اسبرسو </t>
  </si>
  <si>
    <t>اسبرسو دوبل</t>
  </si>
  <si>
    <t>ميكاتو</t>
  </si>
  <si>
    <t>ميكاتو دوبل</t>
  </si>
  <si>
    <t>لاتيه</t>
  </si>
  <si>
    <t>كابتشينو</t>
  </si>
  <si>
    <t>فلات وايت</t>
  </si>
  <si>
    <t>موكاتشينو</t>
  </si>
  <si>
    <t>امريكان كوفي</t>
  </si>
  <si>
    <t>نسكافيه</t>
  </si>
  <si>
    <t>هوت شوكليت</t>
  </si>
  <si>
    <t>هوت شوكليت نكهات</t>
  </si>
  <si>
    <t>Hot Chocolate Flavors</t>
  </si>
  <si>
    <t>انتي - فلو</t>
  </si>
  <si>
    <t>هوت سيدر</t>
  </si>
  <si>
    <t>هوت بلاتر</t>
  </si>
  <si>
    <t>هوت بيانتس</t>
  </si>
  <si>
    <t>المشروبات الباردة</t>
  </si>
  <si>
    <t>كوكاكولا</t>
  </si>
  <si>
    <t>كوكاكولا زيرو</t>
  </si>
  <si>
    <t>اسبرايت</t>
  </si>
  <si>
    <t>فانتا</t>
  </si>
  <si>
    <t>شويبس</t>
  </si>
  <si>
    <t>ريدبول</t>
  </si>
  <si>
    <t>مياه صغيرة</t>
  </si>
  <si>
    <t>مياه كبيرة</t>
  </si>
  <si>
    <t>عصائر فريش</t>
  </si>
  <si>
    <t>موز باللبن</t>
  </si>
  <si>
    <t>جوافة</t>
  </si>
  <si>
    <t>جوافة بالنعناع</t>
  </si>
  <si>
    <t>كيوي</t>
  </si>
  <si>
    <t>ليمون</t>
  </si>
  <si>
    <t>ليمون باللبن</t>
  </si>
  <si>
    <t>ليمون بالنعناع</t>
  </si>
  <si>
    <t>مانجو</t>
  </si>
  <si>
    <t>برتقال</t>
  </si>
  <si>
    <t>فراولة</t>
  </si>
  <si>
    <t>كوكتيلات</t>
  </si>
  <si>
    <t>كريزي مانجو</t>
  </si>
  <si>
    <t>فلوريدا</t>
  </si>
  <si>
    <t>هابي كوكتيل</t>
  </si>
  <si>
    <t>هااواي</t>
  </si>
  <si>
    <t>كيوي ابل منت</t>
  </si>
  <si>
    <t>ليموبانا</t>
  </si>
  <si>
    <t>مانجوبانا</t>
  </si>
  <si>
    <t>مانجو مينت</t>
  </si>
  <si>
    <t>بيناكولادا</t>
  </si>
  <si>
    <t>جرانيتا ( سموزي )</t>
  </si>
  <si>
    <t>اناناس</t>
  </si>
  <si>
    <t>بلوبيري</t>
  </si>
  <si>
    <t>ميكس بيري</t>
  </si>
  <si>
    <t>راسبيري</t>
  </si>
  <si>
    <t>بانانا دراجون</t>
  </si>
  <si>
    <t>ميكس فروتس</t>
  </si>
  <si>
    <t>صودا</t>
  </si>
  <si>
    <t>موخيتو</t>
  </si>
  <si>
    <t>اسكوتش منت</t>
  </si>
  <si>
    <t>صن شاين</t>
  </si>
  <si>
    <t>امريكان صودا</t>
  </si>
  <si>
    <t>اورانج</t>
  </si>
  <si>
    <t>ابل بريز</t>
  </si>
  <si>
    <t>بلو اورانج</t>
  </si>
  <si>
    <t>جريب كيوي</t>
  </si>
  <si>
    <t>ريدبول فيوجن</t>
  </si>
  <si>
    <t>ريدبول موخيتو</t>
  </si>
  <si>
    <t>ريدبول فراولة</t>
  </si>
  <si>
    <t>ريدبول شيري</t>
  </si>
  <si>
    <t>مياه فوارة</t>
  </si>
  <si>
    <t>هيلثي ( المشروبات الصحية )</t>
  </si>
  <si>
    <t>افومانجو</t>
  </si>
  <si>
    <t>نيوكلير هالك</t>
  </si>
  <si>
    <t>اورانج كاروتس</t>
  </si>
  <si>
    <t>استروبري روكا</t>
  </si>
  <si>
    <t>باور كوكتيل</t>
  </si>
  <si>
    <t>تروبيكانا</t>
  </si>
  <si>
    <t>ميلك تشيك</t>
  </si>
  <si>
    <t>ميلك تشيك مانجو</t>
  </si>
  <si>
    <t>ميلك تشيك موز</t>
  </si>
  <si>
    <t>ميلك تشيك بلوبيري</t>
  </si>
  <si>
    <t>ميلك تشيك اوريو</t>
  </si>
  <si>
    <t xml:space="preserve"> Mango Milk shake</t>
  </si>
  <si>
    <t xml:space="preserve"> Banana Milk shake</t>
  </si>
  <si>
    <t xml:space="preserve"> Blueberry Milk shake</t>
  </si>
  <si>
    <t xml:space="preserve"> Oreo Milk shake</t>
  </si>
  <si>
    <t xml:space="preserve"> Cheese Cake Milk shake</t>
  </si>
  <si>
    <t>ميلك تشيك تشيز كيك</t>
  </si>
  <si>
    <t>فرابيه</t>
  </si>
  <si>
    <t>فرابتشينو</t>
  </si>
  <si>
    <t>فرابيه نكهات</t>
  </si>
  <si>
    <t>شوكلت فرابيه</t>
  </si>
  <si>
    <t>موكا نتس فرابيه</t>
  </si>
  <si>
    <t>فرابتشينو موكا</t>
  </si>
  <si>
    <t>ايس لاتيه</t>
  </si>
  <si>
    <t>ايس موكا</t>
  </si>
  <si>
    <t>ايس تي</t>
  </si>
  <si>
    <t xml:space="preserve">الحلويات </t>
  </si>
  <si>
    <t>براونيز</t>
  </si>
  <si>
    <t>تشيز كيك</t>
  </si>
  <si>
    <t>مولتن كيك</t>
  </si>
  <si>
    <t>اوريو مادنس</t>
  </si>
  <si>
    <t>شوكلت كيك</t>
  </si>
  <si>
    <t>ايس كريم</t>
  </si>
  <si>
    <t>بانانا سبليت</t>
  </si>
  <si>
    <t>تشيزكيك لوتس</t>
  </si>
  <si>
    <t>تشيز مادنس</t>
  </si>
  <si>
    <t>بيض مقلي -مشروم -بصل-فلفل الوان - زبدة - مربي - توست</t>
  </si>
  <si>
    <t>سموك تركي - خس - شيدر - مايونيز - مستردة - طماطم - توست</t>
  </si>
  <si>
    <t>دجاج - سموك تركي - سلامي - شيدر - خس - مايونيز  - توست</t>
  </si>
  <si>
    <t xml:space="preserve"> تشيو لافرز</t>
  </si>
  <si>
    <t>شرقي</t>
  </si>
  <si>
    <t xml:space="preserve">فول - طعمية </t>
  </si>
  <si>
    <t>بصل مكرمل - موتزريلا - توست</t>
  </si>
  <si>
    <t xml:space="preserve">شوربة كريمة - دجاج </t>
  </si>
  <si>
    <t>شوربة كريمة - مشروم</t>
  </si>
  <si>
    <t>شوربة عدس اصفر</t>
  </si>
  <si>
    <t>شوربة - مكرونة لسان عصفور</t>
  </si>
  <si>
    <t>شوربة - خضار</t>
  </si>
  <si>
    <t>دجاج مقلي - هاني ماسترد صوص</t>
  </si>
  <si>
    <t>اصابع الموتزريلا المقلية</t>
  </si>
  <si>
    <t>كاساديا دجاج</t>
  </si>
  <si>
    <t>عيش تورتيلا - جبن موتزريلا - جبنة شيدر - دجاج متبل -بصل - فلفل الوان</t>
  </si>
  <si>
    <t>عيش تورتيلا - جبن موتزريلا - جبنة شيدر - بصل - فلفل الوان</t>
  </si>
  <si>
    <t>سمبوسك - جبنة موتزريلا</t>
  </si>
  <si>
    <t>سمبوسك - لحمة مفرومة</t>
  </si>
  <si>
    <t xml:space="preserve">خس - فلفل الوان - حلقات بصل - جبنة دومتي - زيتون </t>
  </si>
  <si>
    <t>سلطة سيزر دجاج</t>
  </si>
  <si>
    <t>سلطة دجاج بالافوكادو</t>
  </si>
  <si>
    <t>دجاج - خس - بارميزان - طماطم شيري - توست</t>
  </si>
  <si>
    <t>دجاج - افوكادو - جزر - ذرة - مشروم - توست</t>
  </si>
  <si>
    <t xml:space="preserve">طماطم - خيار - خضرة </t>
  </si>
  <si>
    <t>فراخ مشوية ع الفحم</t>
  </si>
  <si>
    <t>فراخ مشوية ع الفحم بدون عظام</t>
  </si>
  <si>
    <t>كباب - كفتة - شيش طاووق - أرز</t>
  </si>
  <si>
    <t xml:space="preserve">صدور دجاج مشوية مع 2 من اختيارك من أرز - فرايز - خضار سوتيه - ماش </t>
  </si>
  <si>
    <t xml:space="preserve">صدور دجاج مشوية - بيف بيكون - بيستو صوص - مع 2 من اختيارك من أرز - فرايز - خضار سوتيه - ماش </t>
  </si>
  <si>
    <t xml:space="preserve">لحم فيليه مشوي مع 2 من اختيارك من أرز - فرايز - خضار سوتيه - ماش </t>
  </si>
  <si>
    <t xml:space="preserve">لحم ريب اي مشوي مع 2 من اختيارك من أرز - فرايز - خضار سوتيه - ماش </t>
  </si>
  <si>
    <t xml:space="preserve">دجاج مقلي محشو ب الموتزريلا و الشيدر و التركي - مع ريكفورد صوص  مع 2 من اختيارك من أرز - فرايز - خضار سوتيه - ماش </t>
  </si>
  <si>
    <t>دجاج مقلي - سلامي - بيبروني - شيدر - بارميزان - موتزريلا مع 2 من اختيارك من أرز - فرايز - خضار سوتيه - ماش</t>
  </si>
  <si>
    <t>دجاج - جمبري - صوص الكريمة - عصير اناناس - خضار سوتيه</t>
  </si>
  <si>
    <t>دجاج مقلي - شرائح اناناس - فلفل الوان - بصل - سويت اند ساور صوص مع 2 من اختيارك من أرز - فرايز - خضار سوتيه - ماش</t>
  </si>
  <si>
    <t>مكرونة اسباجتي - كرات اللحم المفروم - مع صوص البولونيز</t>
  </si>
  <si>
    <t>مكرونة - مشروم - زيتون - زيت زيتون - بصل - ريحان - صوص الطماطم - بارميزان - طماطم شيري</t>
  </si>
  <si>
    <t xml:space="preserve">مكرونة - دجاج مشوي - فلفل الوان - صوص طماطم - بارميزان </t>
  </si>
  <si>
    <t>مكرونة - دجاج مشوي - مشروم - وايت صوص -بارميزان</t>
  </si>
  <si>
    <t xml:space="preserve">مكرونة - دجاج مشوي - مشروم - بيستو صوص -بارميزان </t>
  </si>
  <si>
    <t xml:space="preserve">مكرونة - جمبري مشوي - مشروم - بيستو صوص -بارميزان </t>
  </si>
  <si>
    <t xml:space="preserve">مكرونة - جمبري - كاليماري - اصابع كابوريا - فلفل الوان -وايت صوص -  بارميزان </t>
  </si>
  <si>
    <t>مكرونة  - وايت صوص- شيدر - موتزريلا  - بارميزان</t>
  </si>
  <si>
    <t xml:space="preserve"> موتزريلا - فلفل الوان - بصل - مشروم - بروكلي - بارميزان</t>
  </si>
  <si>
    <t xml:space="preserve">موتزريلا - بارميزان </t>
  </si>
  <si>
    <t>موتزريلا - سلامي - زيتون اسود - بارميزان</t>
  </si>
  <si>
    <t>موتزريلا - دجاج  مشوي - فلفل الوان - مشروم - باربكيو</t>
  </si>
  <si>
    <t xml:space="preserve"> موتزريلا - شيدر - بارميزان - ريكفورد</t>
  </si>
  <si>
    <t xml:space="preserve">موتزريلا - تونة - سويت كورن </t>
  </si>
  <si>
    <t>موتزريلا - مشروم - فلفل الوان - جمبري - بارميزان</t>
  </si>
  <si>
    <t>موتزريلا - دجاج  مشوي - سلامي - سموك تركي - فلفل الوان - مشروم - بارميزان</t>
  </si>
  <si>
    <t>قطعة برجر - مايونيز - مستردة - كاتشب - طماطم - شيدر - خس - بصل - فرايز - عيش</t>
  </si>
  <si>
    <t>قطعة برجر - بيف بيكون - مايونيز - مستردة - كاتشب - طماطم - شيدر - خس - بصل - فرايز - عيش</t>
  </si>
  <si>
    <t xml:space="preserve">حواوشي اللحم ع الفحم </t>
  </si>
  <si>
    <t xml:space="preserve">كوردون بلو مقلي - جبنة ميكس - مايونيز - خس - طماطم شيري - فرايز </t>
  </si>
  <si>
    <t>دجاج مشوي - فلفل الوان - بصل - موتزريلا - مايوونيز - هاليبينو - باربكيو - فرايز</t>
  </si>
  <si>
    <t xml:space="preserve">لحم مشوي - صوص مشروم - مشروم  مع فرايز </t>
  </si>
  <si>
    <t>اختيارك من الاضافات</t>
  </si>
  <si>
    <t xml:space="preserve">اسبرسو - لبن </t>
  </si>
  <si>
    <t>اسبرسو</t>
  </si>
  <si>
    <t>عصير برتقال - قرفة - ينسون</t>
  </si>
  <si>
    <t>عصير تفاح - قرفة - قرنفل</t>
  </si>
  <si>
    <t xml:space="preserve">شوكليت - لبن </t>
  </si>
  <si>
    <t>شوكليت - لبن - نكهتك المفضلة</t>
  </si>
  <si>
    <t>شوكليت - زبدة الفول السوداني - كراميل - لبن</t>
  </si>
  <si>
    <t xml:space="preserve">زبدة الفول السوداني - لبن </t>
  </si>
  <si>
    <t>عصير فريش</t>
  </si>
  <si>
    <t>مانجو - فراولة - جوافة</t>
  </si>
  <si>
    <t>مانجو - جوز هند - ايس كريم فانيليا</t>
  </si>
  <si>
    <t>مانجو - كيوي - فانيليا - لبن</t>
  </si>
  <si>
    <t>مانجو - خوخ - موز - اناناس</t>
  </si>
  <si>
    <t>كيوي - تفاح - ليمون - خوخ</t>
  </si>
  <si>
    <t>ليمون - اناناس - برتقال</t>
  </si>
  <si>
    <t xml:space="preserve">مانجو - موز - خوخ - اناناس - نعناع </t>
  </si>
  <si>
    <t>مانجو - ايس كريم فانيليا - قرفة - فانيليا</t>
  </si>
  <si>
    <t>اناناس - جوز هند - ليمون</t>
  </si>
  <si>
    <t>مانجو - فراولة - لبن - موز - ايس كريم فانيليا</t>
  </si>
  <si>
    <t xml:space="preserve">ليمون نعناع - ثلج </t>
  </si>
  <si>
    <t xml:space="preserve">جوافة - ثلج </t>
  </si>
  <si>
    <t>ليمون - ثلج</t>
  </si>
  <si>
    <t xml:space="preserve">اناناس - ثلج </t>
  </si>
  <si>
    <t>بلوبيري - ثلج</t>
  </si>
  <si>
    <t>كيوي -ثلج</t>
  </si>
  <si>
    <t>مانجو - ثلج</t>
  </si>
  <si>
    <t>ميكس بيري - ثلج</t>
  </si>
  <si>
    <t>راسبيري - ثلج</t>
  </si>
  <si>
    <t>فراولة - ثلج</t>
  </si>
  <si>
    <t>موز - فراولة - جوزهند - ثلج</t>
  </si>
  <si>
    <t>كولا - كانز كولا - كريز - ثلج</t>
  </si>
  <si>
    <t>جوافة - فراولة - مانجو - ثلج</t>
  </si>
  <si>
    <t>عصير اناناس - بلوكرواسوا - سفن اب</t>
  </si>
  <si>
    <t xml:space="preserve">موخيتو فليفر - ليمون - نعناع - سفن اب </t>
  </si>
  <si>
    <t xml:space="preserve">فتراك نعناع - ليمون - نعناع - سفن اب </t>
  </si>
  <si>
    <t xml:space="preserve">فتراك رمان - ليمون - سفن اب </t>
  </si>
  <si>
    <t>اسبرسو - ريد بول</t>
  </si>
  <si>
    <t xml:space="preserve">كريز فليفر - عصير برتقال - سفن اب </t>
  </si>
  <si>
    <t xml:space="preserve">تفاح - فتراك نعناع - سفن اب </t>
  </si>
  <si>
    <t xml:space="preserve">بلوكرواسوا - برتقال - سفن اب </t>
  </si>
  <si>
    <t xml:space="preserve">عنب احمر - كيوي - كيوي فلفر - سفن اب </t>
  </si>
  <si>
    <t>اناناس - برتقال - ريدبول</t>
  </si>
  <si>
    <t>ليمون - نعناع - ريد بول</t>
  </si>
  <si>
    <t>فراولة - ريدبول</t>
  </si>
  <si>
    <t>كريز فليفر - ريدبول</t>
  </si>
  <si>
    <t xml:space="preserve">عصير برتقال - جزر </t>
  </si>
  <si>
    <t>افوكادو - موز - كيوي - لبن</t>
  </si>
  <si>
    <t>افوكادو - مانجو</t>
  </si>
  <si>
    <t>فراولة - ورق جرجير</t>
  </si>
  <si>
    <t>جزر - كيوي - برتقال - عسل ابيض</t>
  </si>
  <si>
    <t>افوكادو - كيوي - جرجير - موز - عسل ابيض</t>
  </si>
  <si>
    <t>جرجير - افوكادو - موز - ايس كريم فانيليا - لبن</t>
  </si>
  <si>
    <t>ايس كريم فانيليا - مانجو</t>
  </si>
  <si>
    <t>ايس كريم فانيليا - موز - لبن</t>
  </si>
  <si>
    <t>ايس كريم فانيليا - بلوبيري</t>
  </si>
  <si>
    <t>ايس كريم فانيليا - شوكلت - اوريو - لبن</t>
  </si>
  <si>
    <t>ايس كريم فانيليا - تشيز كيك مع فليفر من اختيارك</t>
  </si>
  <si>
    <t>ايس كريم فانيليا - كيت كات - مارشيملو</t>
  </si>
  <si>
    <t>فرابيه - اسبرسو - لبن</t>
  </si>
  <si>
    <t>فرابيه - لبن - فليفر من اختيارك</t>
  </si>
  <si>
    <t>فرابيه شوكليت - لبن</t>
  </si>
  <si>
    <t>فرابيه - زبدة فول سوداني - كراميل - لبن</t>
  </si>
  <si>
    <t>فرابيه شوكليت - اسبرسو - لبن</t>
  </si>
  <si>
    <t>فرابيه - زبدة فول سوداني - كراميل -بسكوت دايجيستيف-  لبن</t>
  </si>
  <si>
    <t>اسبرسو - لبن - ثلج</t>
  </si>
  <si>
    <t>اسبرسو - شوكليت - لبن - ثلج</t>
  </si>
  <si>
    <t>شاي احمر - ثلج</t>
  </si>
  <si>
    <t>كيك البراونيز مع ايس كريم</t>
  </si>
  <si>
    <t>تشيز كيك مع صوص من اختيارك</t>
  </si>
  <si>
    <t>مولتن كيك مع ايس كريم</t>
  </si>
  <si>
    <t>اوريو - ايس كريم فانيليا</t>
  </si>
  <si>
    <t>شوكليت كيك</t>
  </si>
  <si>
    <t>3 بولات من اختيارك</t>
  </si>
  <si>
    <t>موز- ايس كريم فانيليا</t>
  </si>
  <si>
    <t>بسكوت لوتس - مع تشيز كيك</t>
  </si>
  <si>
    <t>ايس كريم فانيليا مع تشيز كيك</t>
  </si>
  <si>
    <t xml:space="preserve">سلطة طحينة </t>
  </si>
  <si>
    <t>شرائح لحم مشوية - مشروم صوص مع 2 من اختيارك من أرز - فرايز - خضار سوتيه - ماش</t>
  </si>
  <si>
    <t>بيض مقلي - فرانكفورتر - سموك تركي - مشروم - طماطم شيري - ماش -زبدة - مربي -  توست</t>
  </si>
  <si>
    <t>بيض مقلي - شيدر - ريكفورد - رومي - هوت دوج - تفاح - عين جمل - زبدة - مربي - توست</t>
  </si>
  <si>
    <t>Caramelized Onions - Mozzarella - Toast</t>
  </si>
  <si>
    <t>Yellow Lentil Soup</t>
  </si>
  <si>
    <t>Fried Chicken - Honey Mustard Sauce</t>
  </si>
  <si>
    <t>Chicken - Avocado - Carrots - Corn - Mushroom - Toast</t>
  </si>
  <si>
    <t xml:space="preserve">لحم مشوي سلايز - سموك تركي - طماطم شيري - خس - تفاح - كيوي - عين جمل </t>
  </si>
  <si>
    <t>Baba Ghanoush</t>
  </si>
  <si>
    <t>مكرونة - ارز - عدس - شعرية - بصل - حمص - صلصة طماطم</t>
  </si>
  <si>
    <t>Mozzarella - Parmesan</t>
  </si>
  <si>
    <t>Mozzarella - Salami - Black Olives - Parmesan</t>
  </si>
  <si>
    <t xml:space="preserve">قطع شيش طاوورق مشوي ع الفحم - فرايز </t>
  </si>
  <si>
    <t>Grilled Beef - Mushroom Sauce - Fries</t>
  </si>
  <si>
    <t>Your Choice Of Food Extras</t>
  </si>
  <si>
    <t>Lemon - Mint - Redbull</t>
  </si>
  <si>
    <t>Strawberry -  Redbull</t>
  </si>
  <si>
    <t>Cherry - Redbull</t>
  </si>
  <si>
    <t>Pineapple - Blue Curacao - 7Up</t>
  </si>
  <si>
    <t>Avocado - Mango</t>
  </si>
  <si>
    <t>Avocado - Banana - Kiwi - Milk</t>
  </si>
  <si>
    <t>Orange - Carrots</t>
  </si>
  <si>
    <t>Strwaberry - Rocca</t>
  </si>
  <si>
    <t>Rocca - Avocado - Banana - Vanilla Ice Cream - Milk</t>
  </si>
  <si>
    <t>Carrots - Kiwi - Orange - Honey</t>
  </si>
  <si>
    <t>Avocado - Kiwi - Rocca - Banana - Honey</t>
  </si>
  <si>
    <t xml:space="preserve">Mango - Vanilla Ice Cream </t>
  </si>
  <si>
    <t>Banana - Milk - Vanilla Ice Cream</t>
  </si>
  <si>
    <t>Blueberry - Vanilla Ice Cream</t>
  </si>
  <si>
    <t xml:space="preserve">Oreo - Chocolate - Milk - Vanilla ice Cream </t>
  </si>
  <si>
    <t>Cheese Cake With Flavor - Vanilla Ice Cream</t>
  </si>
  <si>
    <t>Frappe - Espresso - Milk</t>
  </si>
  <si>
    <t>Frappe - Milk - Your Choice of Flavors</t>
  </si>
  <si>
    <t>Chocolate Frappe - Milk</t>
  </si>
  <si>
    <t>Frappe - Peanut Butter -Caramel - Milk</t>
  </si>
  <si>
    <t>Chocolate Frappe - Espresso - Milk</t>
  </si>
  <si>
    <t>Espresso - Milk - Ice</t>
  </si>
  <si>
    <t xml:space="preserve">Espresso - Chocolate - Milk - Ice </t>
  </si>
  <si>
    <t xml:space="preserve">Red tea - Ice </t>
  </si>
  <si>
    <t>Brownies With ice Cream</t>
  </si>
  <si>
    <t>Cheese Cake With your Choice Of Flavor</t>
  </si>
  <si>
    <t>Molten Cake With Ice Cream</t>
  </si>
  <si>
    <t xml:space="preserve">Oreo - Vanilla Ice Cream </t>
  </si>
  <si>
    <t>Ice Cream 3 Scoops of Your Choice</t>
  </si>
  <si>
    <t xml:space="preserve">Banana - Vanilla ice Cream </t>
  </si>
  <si>
    <t>Lotus Biscuits - Cheese Cake</t>
  </si>
  <si>
    <t>Cheese Cake - Vanilla Ice Cream</t>
  </si>
  <si>
    <t>Birell</t>
  </si>
  <si>
    <t>بريل</t>
  </si>
  <si>
    <t>مبكبكه</t>
  </si>
  <si>
    <t>مكرونه - قطع لحم -  صلصة طماطم  - فلفل</t>
  </si>
  <si>
    <t>Salep</t>
  </si>
  <si>
    <t>سحلب</t>
  </si>
  <si>
    <t>لبن - سحلب - مكسرات</t>
  </si>
  <si>
    <t>Milk - Salep - Nuts</t>
  </si>
  <si>
    <t>Halabessa</t>
  </si>
  <si>
    <t>Hummus El Sham</t>
  </si>
  <si>
    <t>حلبسه</t>
  </si>
  <si>
    <t>حمص الشام</t>
  </si>
  <si>
    <t>حلبه باللبن</t>
  </si>
  <si>
    <t xml:space="preserve">حلبه </t>
  </si>
  <si>
    <t>Pasta - Grilled Chicken - Mushroom - White Sauce - Parmesan</t>
  </si>
  <si>
    <t>Shadow Breakfast</t>
  </si>
  <si>
    <t>شادو</t>
  </si>
  <si>
    <t>Hot Chicken Balls</t>
  </si>
  <si>
    <t>Shadow Potatoes</t>
  </si>
  <si>
    <t>`</t>
  </si>
  <si>
    <t xml:space="preserve">شادو بطاطس </t>
  </si>
  <si>
    <t>Small Sparkling Water</t>
  </si>
  <si>
    <t>Large Sparkling Water</t>
  </si>
  <si>
    <t>مياه فوارة صغيره</t>
  </si>
  <si>
    <t>مياه فوارة كبيره</t>
  </si>
  <si>
    <t>Puvana Light Sparkling Water ( 240M )</t>
  </si>
  <si>
    <t>Puvana Medium Sparkling Water ( 500M )</t>
  </si>
  <si>
    <t>Shadow Soda</t>
  </si>
  <si>
    <t>براد شاي اخضر شادو</t>
  </si>
  <si>
    <t>شادو فرابيه</t>
  </si>
  <si>
    <t>ميلك تشيك شادو</t>
  </si>
  <si>
    <t>Shadow Healthy</t>
  </si>
  <si>
    <t>Prices Are Subject To 12% &amp; 14% Vat</t>
  </si>
  <si>
    <t>يضاف خدمه 12% و 14% قيمه مضافه</t>
  </si>
  <si>
    <t>Breakfast</t>
  </si>
  <si>
    <t>Omelette - Mushroom - Onion - Pepper - Butter - Jam - Toast</t>
  </si>
  <si>
    <t>Omelette</t>
  </si>
  <si>
    <t>Chicken - Smoked Turkey - Salami - Cheddar - Lettuce - Mayonnaise - Toast</t>
  </si>
  <si>
    <t xml:space="preserve"> Omelette - Frankfurter - Smoked Turkey - Mushroom - Cherry Tomato - Mashed Potatoes - Butter - Jam - Toast</t>
  </si>
  <si>
    <t>Ingredients: Creamy Soup - Chicken</t>
  </si>
  <si>
    <t>Ingredients: Creamy Soup - Mushroom</t>
  </si>
  <si>
    <t>Tortilla Bread - Mozzarella - Cheddar - Chicken - Onion - Pepper</t>
  </si>
  <si>
    <t>Fried Potatoes - Cheddar Sauce - Honey Mustard Sauce - Fried Chicken</t>
  </si>
  <si>
    <t>Chicken Quesadilla</t>
  </si>
  <si>
    <t>Cheese Sambousek (4 Pieces)</t>
  </si>
  <si>
    <t>Meat Sambousek (4 Pieces)</t>
  </si>
  <si>
    <t>Tortilla Bread - Mozzarella - Cheddar - Onion - Pepper</t>
  </si>
  <si>
    <t>Cheese Sambousek</t>
  </si>
  <si>
    <t>Meat Sambousek</t>
  </si>
  <si>
    <t>Tender Fried Rolled Chicken With Cheese And Louisiana Mayo Dip</t>
  </si>
  <si>
    <t>Greek Salad</t>
  </si>
  <si>
    <t>Chicken Caesar Salad</t>
  </si>
  <si>
    <t>Baba Ghanoush Salad</t>
  </si>
  <si>
    <t>Lettuce - Pepper - Onion - Cherry Tomato - Feta Cheese - Olives</t>
  </si>
  <si>
    <t>Chicken - Lettuce - Parmesan - Cherry Tomato - Toast</t>
  </si>
  <si>
    <t>Beef - Smoked Turkey - Cherry Tomato - Lettuce - Apple - Kiwi - Walnuts</t>
  </si>
  <si>
    <t>Tahina</t>
  </si>
  <si>
    <t>Tomato - Cucumber - Greens</t>
  </si>
  <si>
    <t>Cordon Bleu</t>
  </si>
  <si>
    <t>Chicken Curry And Shrimp</t>
  </si>
  <si>
    <t>Chicken Sweet And Sour</t>
  </si>
  <si>
    <t>Chicken Shish Tawook</t>
  </si>
  <si>
    <t xml:space="preserve"> Grilled Chicken With Two Side Dishes (Rice - Fries - Sauteed Vegetables - Mashed Potatoes)</t>
  </si>
  <si>
    <t>Grilled Chicken - Beef Bacon - Pesto Sauce With Two Side Dishes (Rice - Fries - Sauteed Vegetables - Mashed Potatoes)</t>
  </si>
  <si>
    <t>Fried Chicken Stuffed With Mozzarella - Cheddar - Turkey With Richford Sauce With Two Side Dishes (Rice - Fries - Sauteed Vegetables - Mashed Potatoes)</t>
  </si>
  <si>
    <t xml:space="preserve"> Fried Chicken With Salami - Pepperoni - Cheddar - Parmesan - Mozzarella With Two Side Dishes (Rice - Fries - Sauteed Vegetables - Mashed Potatoes)</t>
  </si>
  <si>
    <t xml:space="preserve"> Grilled Chicken - Grilled Shrimp - Creamy Sauce - Pineapple Juice - Sauteed Vegetables</t>
  </si>
  <si>
    <t>Fried Chicken With Pineapple Slices - Colored Pepper - Onion - Sweet And Sour Sauce With Two Side Dishes (Rice - Fries - Sauteed Vegetables - Mashed Potatoes)</t>
  </si>
  <si>
    <t>Beef Rib Eye</t>
  </si>
  <si>
    <t>Grilled Beef Fillet With Two Side Dishes (Rice - Fries - Sauteed Vegetables - Mashed Potatoes)</t>
  </si>
  <si>
    <t>Beef Rib Eye With Two Side Dishes (Rice - Fries - Sauteed Vegetables - Mashed Potatoes)</t>
  </si>
  <si>
    <t>Beef Stroganoff With Two Side Dishes (Rice - Fries - Sauteed Vegetables - Mashed Potatoes)</t>
  </si>
  <si>
    <t>Arrabbiata Pasta</t>
  </si>
  <si>
    <t>Chicken BBQ Pasta</t>
  </si>
  <si>
    <t>Seafood Pasta</t>
  </si>
  <si>
    <t>Spaghetti Pasta - Minced Meat - Bolognese Sauce</t>
  </si>
  <si>
    <t>Pasta - Mushroom - Olives - Olive Oil - Onion - Basil - Tomato Sauce - Parmesan - Cherry Tomato</t>
  </si>
  <si>
    <t xml:space="preserve"> Pasta - Grilled Chicken - Colored Pepper - Tomato Sauce - Parmesan</t>
  </si>
  <si>
    <t>Pasta - White Sauce - Cheddar - Mozzarella - Parmesan</t>
  </si>
  <si>
    <t xml:space="preserve"> Pasta - Grilled Chicken - Mushroom - Pesto Sauce - Parmesan</t>
  </si>
  <si>
    <t>Pasta - Shrimp - Calamari - Sticks - Colored Pepper - White Sauce - Parmesan</t>
  </si>
  <si>
    <t>Margherita Pizza</t>
  </si>
  <si>
    <t>Vegetarian Pizza</t>
  </si>
  <si>
    <t xml:space="preserve"> Mozzarella - Colored Pepper - Onion - Mushroom - Broccoli - Parmesan</t>
  </si>
  <si>
    <t xml:space="preserve"> Mozzarella - Grilled Chicken - Colored Pepper - Mushroom - BBQ Sauce</t>
  </si>
  <si>
    <t>Mozzarella - Cheddar - Parmesan - Roquefort</t>
  </si>
  <si>
    <t xml:space="preserve"> Mozzarella - Tuna - Sweet Corn</t>
  </si>
  <si>
    <t xml:space="preserve"> Mozzarella - Grilled Chicken - Salami - Smoked Turkey - Colored Pepper - Mushroom - Parmesan</t>
  </si>
  <si>
    <t xml:space="preserve"> Shish Tawook Sandwich - Fries</t>
  </si>
  <si>
    <t>Burger - Mayonnaise - Mustard - Ketchup - Tomato - Cheddar - Lettuce - Onion - Fries - Bread</t>
  </si>
  <si>
    <t>Grilled Chicken - Colored Pepper - Onion - Mozzarella - Mayonnaise - Jalapeno - BBQ - Fries</t>
  </si>
  <si>
    <t>Beans - Falafel - Mexican Sausage - Omelette - Cheese WithTomato  -Romy Cheese -  French Fries -  Assorted Luncheon Meat</t>
  </si>
  <si>
    <t>Hot Beverages</t>
  </si>
  <si>
    <t>Green Tea</t>
  </si>
  <si>
    <t>Shadow Green Tea Pot</t>
  </si>
  <si>
    <t>Turkish Coffee (Single)</t>
  </si>
  <si>
    <t>Turkish Coffee (Double)</t>
  </si>
  <si>
    <t>French Coffee</t>
  </si>
  <si>
    <t>Espresso (Single)</t>
  </si>
  <si>
    <t>Espresso (Double)</t>
  </si>
  <si>
    <t>Macchiato (Single)</t>
  </si>
  <si>
    <t>Macchiato (Double)</t>
  </si>
  <si>
    <t>Cappuccino</t>
  </si>
  <si>
    <t>Flat White</t>
  </si>
  <si>
    <t>Hot Cider</t>
  </si>
  <si>
    <t xml:space="preserve"> Orange – Cinnamon – Anise</t>
  </si>
  <si>
    <t>Apple Juice – Cinnamon – Clove</t>
  </si>
  <si>
    <t>Soft Drinks</t>
  </si>
  <si>
    <t>Schweppes</t>
  </si>
  <si>
    <t>Small Water</t>
  </si>
  <si>
    <t>Medium Water (500 Ml)</t>
  </si>
  <si>
    <t>Large Water (1 L)</t>
  </si>
  <si>
    <t>Puvana Water Glass Bottle (500 Ml)</t>
  </si>
  <si>
    <t xml:space="preserve"> Puvana Water Glass Bottle (1 L)</t>
  </si>
  <si>
    <t>Kiwi Apple Mint</t>
  </si>
  <si>
    <t xml:space="preserve"> Pineapple – Coconut – Lemon</t>
  </si>
  <si>
    <t>Mango – Banana – Peach – Pineapple – Mint</t>
  </si>
  <si>
    <t>Mango – Vanilla Ice Cream – Cinnamon – Vanilla</t>
  </si>
  <si>
    <t>Lemon – Pineapple – Orange</t>
  </si>
  <si>
    <t xml:space="preserve"> Kiwi – Apple – Lemon – Peach</t>
  </si>
  <si>
    <t xml:space="preserve"> Mango – Peach – Banana – Pineapple</t>
  </si>
  <si>
    <t>Mango – Kiwi – Vanilla – Milk</t>
  </si>
  <si>
    <t xml:space="preserve"> Mango – Strawberry – Guava</t>
  </si>
  <si>
    <t>Mango – Coconut – Vanilla Ice Cream</t>
  </si>
  <si>
    <t>Pina Colada</t>
  </si>
  <si>
    <t>Guava Smoothie</t>
  </si>
  <si>
    <t>Lemon Mint Smoothie</t>
  </si>
  <si>
    <t xml:space="preserve"> Lemon Smoothie</t>
  </si>
  <si>
    <t>Pineapple Smoothie</t>
  </si>
  <si>
    <t>Blueberry Smoothie</t>
  </si>
  <si>
    <t xml:space="preserve"> Kiwi Smoothie</t>
  </si>
  <si>
    <t xml:space="preserve"> Mango Smoothie</t>
  </si>
  <si>
    <t xml:space="preserve"> Mixed Berries Smoothie</t>
  </si>
  <si>
    <t>Raspberry Smoothie</t>
  </si>
  <si>
    <t>Strawberry Smoothie</t>
  </si>
  <si>
    <t xml:space="preserve"> Banana Dragon Smoothie</t>
  </si>
  <si>
    <t xml:space="preserve"> Mixed Fruits Smoothie</t>
  </si>
  <si>
    <t xml:space="preserve"> Guava – Ice</t>
  </si>
  <si>
    <t xml:space="preserve"> Lemon – Mint – Ice</t>
  </si>
  <si>
    <t xml:space="preserve"> Lemon – Ice</t>
  </si>
  <si>
    <t>Pineapple – Ice</t>
  </si>
  <si>
    <t>Blueberry – Ice</t>
  </si>
  <si>
    <t xml:space="preserve"> Kiwi – Ice</t>
  </si>
  <si>
    <t>Mango – Ice</t>
  </si>
  <si>
    <t xml:space="preserve"> Mixed Berries – Ice</t>
  </si>
  <si>
    <t xml:space="preserve"> Raspberry – Ice</t>
  </si>
  <si>
    <t>Strawberry – Ice</t>
  </si>
  <si>
    <t xml:space="preserve"> Banana – Strawberry – Coconut – Ice</t>
  </si>
  <si>
    <t>Guava – Strawberry – Mango – Ice</t>
  </si>
  <si>
    <t xml:space="preserve"> Sun Shine Soda</t>
  </si>
  <si>
    <t xml:space="preserve"> Scotch Mint Soda</t>
  </si>
  <si>
    <t xml:space="preserve"> Mojito Flavor – Lemon – Mint – 7Up</t>
  </si>
  <si>
    <t xml:space="preserve"> Mint Flavor – Lemon – Mint – 7Up</t>
  </si>
  <si>
    <t>Garden – Lemon – 7Up</t>
  </si>
  <si>
    <t>94. Red Bull Fusion Soda</t>
  </si>
  <si>
    <t>Pineapple – Orange – Red Bull</t>
  </si>
  <si>
    <t xml:space="preserve"> Apple Breeze Soda</t>
  </si>
  <si>
    <t>Red Bull</t>
  </si>
  <si>
    <t xml:space="preserve"> Birell</t>
  </si>
  <si>
    <t>Espresso – Red Bull</t>
  </si>
  <si>
    <t xml:space="preserve"> Cherry – Orange – 7Up</t>
  </si>
  <si>
    <t>Apple – Mint – Sprite – 7Up</t>
  </si>
  <si>
    <t>Blue Curacao – Orange – 7Up</t>
  </si>
  <si>
    <t>Grape – Kiwi – Kiwi Flavor – 7Up</t>
  </si>
  <si>
    <t>Smoked Chicken Breast</t>
  </si>
  <si>
    <t>Chicken Breast - Garlic -  Ketchup -  Salt -  Pepper Sauce - Paprika -  Olive Oil With Two Side Dishes ( Smoked Rice - Fries - Sauteed Vegetables - Mashed Potatoes)</t>
  </si>
  <si>
    <t xml:space="preserve">Kofta </t>
  </si>
  <si>
    <t xml:space="preserve">Kebab - Kofta - Chicken Shish Tawook - Rice </t>
  </si>
  <si>
    <t>كفته مشويه</t>
  </si>
  <si>
    <t>Cordon Bleu Sandwich</t>
  </si>
  <si>
    <t xml:space="preserve">كفته مشويه عالفحم مع 2 من اختيارك من أرز - فرايز - خضار سوتيه - ماش </t>
  </si>
  <si>
    <t>Grilled Kofta With Two Side Dishes (Rice - Fries - Sauteed Vegetables - Mashed Potatoes)</t>
  </si>
  <si>
    <t>Cordon Bleu with Mix Cheese - Mayonnaise - Lettuce -Sherry Tomato - Fries</t>
  </si>
  <si>
    <t>Warm traditional Egyptian dessert with flaky pastry, rich milk &amp; cream, raisins, coconut and mixed nuts.</t>
  </si>
  <si>
    <t>Golden crispy waffle served with chocolate sauce, fresh seasonal fruits &amp; whipped cream.</t>
  </si>
  <si>
    <t>CLASSIC WAFFLE</t>
  </si>
  <si>
    <t>NUTELLA WAFFLE</t>
  </si>
  <si>
    <t>Golden crispy waffle topped with Nutella, banana, strawberries &amp; whipped cream.</t>
  </si>
  <si>
    <t>LOTUS WAFFLE</t>
  </si>
  <si>
    <t>Golden crispy waffle topped with Lotus spread, crushed Lotus biscuits &amp; whipped cream.</t>
  </si>
  <si>
    <t xml:space="preserve">WAFFLE &amp; ICE CREAM </t>
  </si>
  <si>
    <t>Golden crispy waffle served with vanilla ice cream, chocolate sauce &amp; fresh fruits.</t>
  </si>
  <si>
    <t>PREMIUM OM ALI</t>
  </si>
  <si>
    <t>CLASSIC PANCAKE</t>
  </si>
  <si>
    <t>Fluffy homemade pancakes served with maple syrup, fresh fruits &amp; whipped cream.</t>
  </si>
  <si>
    <t>Fluffy pancakes topped with Nutella, banana, strawberries &amp; whipped cream.</t>
  </si>
  <si>
    <t>NUTELLA PANCAKE</t>
  </si>
  <si>
    <t>Extras</t>
  </si>
  <si>
    <t>Nutella - Lotus Spread - Chocolate Sauce - Honey - Fresh Fruits - Ice Cream Scoop - Whipped Cream</t>
  </si>
  <si>
    <t>وافل كلاسيك</t>
  </si>
  <si>
    <t>وافل ذهبي مقرمش يُقدم مع صوص الشوكولاتة، والفواكه الطازجة الموسمية والكريمة المخفوقة.</t>
  </si>
  <si>
    <t xml:space="preserve">وافل نوتيلا </t>
  </si>
  <si>
    <t>وافل ذهبي مقرمش مغطى بالنوتيلا والموز والفراولة والكريمة المخفوقة.</t>
  </si>
  <si>
    <t>وافل لوتس</t>
  </si>
  <si>
    <t>وافل ذهبي مقرمش مغطى بكريمة اللوتس وبسكويت اللوتس المجروش والكريمة المخفوقة.</t>
  </si>
  <si>
    <t>وافل مع آيس كريم</t>
  </si>
  <si>
    <t>وافل ذهبي مقرمش يُقدم مع آيس كريم الفانيليا وصوص الشوكولاتة والفواكه الطازجة.</t>
  </si>
  <si>
    <t>بان كيك كلاسيك</t>
  </si>
  <si>
    <t>بان كيك منزلي هش يُقدم مع شراب القيقب والفواكه الطازجة والكريمة المخفوقة.</t>
  </si>
  <si>
    <t>بان كيك نوتيلا</t>
  </si>
  <si>
    <t>بان كيك هش مغطى بالنوتيلا والموز والفراولة والكريمة المخفوقة.</t>
  </si>
  <si>
    <t>نوتيلا - كريمة لوتس - صوص شوكولاتة - عسل - فواكه طازجة - سكوب آيس كريم - كريمة مخفوقة</t>
  </si>
  <si>
    <t xml:space="preserve">أم علي بريميوم </t>
  </si>
  <si>
    <t>حلوى مصرية تقليدية ساخنة، محضّرة من رقائق العجين المورّقة مع الحليب الغني والقشطة والزبيب وجوز الهند والمكسرات المشكلة</t>
  </si>
  <si>
    <t>الإضافات</t>
  </si>
  <si>
    <t>FETEER MESHALTET</t>
  </si>
  <si>
    <t xml:space="preserve">فطير مشلتت </t>
  </si>
  <si>
    <t>Traditional Egyptian flaky pastry, freshly baked and served Warm with Two Side Dishes ( MORTA - White HONEY - Black HONEY - CREAM Qeshta - Old Cheese )</t>
  </si>
  <si>
    <t>فطير مصري تقليدي مورّق، يُخبز طازجًا ويُقدم ساخنًا مع طبقين من ( مورتا - عسل اسود - عسل أبيض - جبنه قديمه - قشطه )</t>
  </si>
  <si>
    <t>Shisha</t>
  </si>
  <si>
    <t>Shisha Mix</t>
  </si>
  <si>
    <t>Shisha Flavors</t>
  </si>
  <si>
    <t>Shisha Maaseel</t>
  </si>
  <si>
    <t>شيشه معسل</t>
  </si>
  <si>
    <t>شيشه فواكهه</t>
  </si>
  <si>
    <t>شيشه ميكس</t>
  </si>
  <si>
    <t>Butter Chicken</t>
  </si>
  <si>
    <t>Chicken - White Rice - Indian Bread Nan</t>
  </si>
  <si>
    <t>دجاج هندي</t>
  </si>
  <si>
    <t>دجاج بالزبده - أرز العطري - خبز 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</si>
</sst>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zoomScale="80" zoomScaleNormal="80" workbookViewId="0">
      <selection activeCell="A49" sqref="A49"/>
    </sheetView>
  </sheetViews>
  <sheetFormatPr defaultRowHeight="40.200000000000003" customHeight="1" x14ac:dyDescent="0.25"/>
  <cols>
    <col min="1" max="1" width="4.69921875" style="19" bestFit="1" customWidth="1"/>
    <col min="2" max="2" width="37" style="19" hidden="1" customWidth="1"/>
    <col min="3" max="3" width="37" style="19" customWidth="1"/>
    <col min="4" max="4" width="106.3984375" style="20" customWidth="1"/>
    <col min="5" max="5" width="106.3984375" style="20" hidden="1" customWidth="1"/>
    <col min="6" max="6" width="12.59765625" style="25" customWidth="1"/>
    <col min="7" max="7" width="10.19921875" style="20" hidden="1" customWidth="1"/>
    <col min="8" max="8" width="10.19921875" style="21" hidden="1" customWidth="1"/>
    <col min="9" max="10" width="10.19921875" style="8" hidden="1" customWidth="1"/>
    <col min="11" max="11" width="90.69921875" style="8" customWidth="1"/>
    <col min="12" max="12" width="21.69921875" style="8" customWidth="1"/>
    <col min="13" max="13" width="1.59765625" style="22" customWidth="1"/>
    <col min="14" max="19" width="11.8984375" style="8" customWidth="1"/>
    <col min="20" max="16384" width="8.796875" style="8"/>
  </cols>
  <sheetData>
    <row r="1" spans="1:19" ht="40.200000000000003" customHeight="1" x14ac:dyDescent="0.25">
      <c r="A1" s="10">
        <v>1</v>
      </c>
      <c r="B1" s="10" t="s">
        <v>522</v>
      </c>
      <c r="C1" s="10" t="str" cm="1">
        <f t="array" ref="C1:C93">PROPER(B1:B93)</f>
        <v>Breakfast</v>
      </c>
      <c r="D1" s="17" t="str" cm="1">
        <f t="array" ref="D1:D92">PROPER(E1:E92)</f>
        <v>Ingredients</v>
      </c>
      <c r="E1" s="17" t="s">
        <v>103</v>
      </c>
      <c r="F1" s="14" t="s">
        <v>104</v>
      </c>
      <c r="G1" s="14" t="s">
        <v>104</v>
      </c>
      <c r="H1" s="14" t="s">
        <v>104</v>
      </c>
      <c r="I1" s="1" t="s">
        <v>104</v>
      </c>
      <c r="J1" s="1" t="s">
        <v>104</v>
      </c>
      <c r="K1" s="1" t="s">
        <v>102</v>
      </c>
      <c r="L1" s="1" t="s">
        <v>100</v>
      </c>
      <c r="M1" s="5">
        <v>2</v>
      </c>
    </row>
    <row r="2" spans="1:19" ht="40.200000000000003" customHeight="1" x14ac:dyDescent="0.25">
      <c r="A2" s="11">
        <v>1</v>
      </c>
      <c r="B2" s="11" t="s">
        <v>524</v>
      </c>
      <c r="C2" s="11" t="str">
        <v>Omelette</v>
      </c>
      <c r="D2" s="16" t="str">
        <v>Omelette - Mushroom - Onion - Pepper - Butter - Jam - Toast</v>
      </c>
      <c r="E2" s="16" t="s">
        <v>523</v>
      </c>
      <c r="F2" s="24">
        <f>+G2+H2</f>
        <v>237.51</v>
      </c>
      <c r="G2" s="2">
        <f>+H2*40%</f>
        <v>67.86</v>
      </c>
      <c r="H2" s="15">
        <f t="shared" ref="H2:H6" si="0">+I2+J2</f>
        <v>169.65</v>
      </c>
      <c r="I2" s="2">
        <f>+J2*45%</f>
        <v>52.65</v>
      </c>
      <c r="J2" s="2">
        <v>117</v>
      </c>
      <c r="K2" s="2" t="s">
        <v>305</v>
      </c>
      <c r="L2" s="2" t="s">
        <v>101</v>
      </c>
      <c r="M2" s="6"/>
    </row>
    <row r="3" spans="1:19" ht="40.200000000000003" customHeight="1" x14ac:dyDescent="0.25">
      <c r="A3" s="11">
        <v>2</v>
      </c>
      <c r="B3" s="11" t="s">
        <v>0</v>
      </c>
      <c r="C3" s="11" t="str">
        <v>Club Sandwich</v>
      </c>
      <c r="D3" s="16" t="str">
        <v>Chicken - Smoked Turkey - Salami - Cheddar - Lettuce - Mayonnaise - Toast</v>
      </c>
      <c r="E3" s="16" t="s">
        <v>525</v>
      </c>
      <c r="F3" s="24">
        <f t="shared" ref="F3:F6" si="1">+G3+H3</f>
        <v>356.46800000000002</v>
      </c>
      <c r="G3" s="2">
        <f t="shared" ref="G3:G68" si="2">+H3*40%</f>
        <v>101.84800000000001</v>
      </c>
      <c r="H3" s="15">
        <f t="shared" si="0"/>
        <v>254.62</v>
      </c>
      <c r="I3" s="2">
        <f t="shared" ref="I3:I8" si="3">+J3*45%</f>
        <v>79.02</v>
      </c>
      <c r="J3" s="2">
        <v>175.6</v>
      </c>
      <c r="K3" s="2" t="s">
        <v>307</v>
      </c>
      <c r="L3" s="2" t="s">
        <v>105</v>
      </c>
      <c r="M3" s="6"/>
    </row>
    <row r="4" spans="1:19" ht="40.200000000000003" hidden="1" customHeight="1" thickBot="1" x14ac:dyDescent="0.3">
      <c r="A4" s="11"/>
      <c r="B4" s="11"/>
      <c r="C4" s="11" t="str">
        <v/>
      </c>
      <c r="D4" s="16" t="str">
        <v/>
      </c>
      <c r="E4" s="16"/>
      <c r="F4" s="24">
        <f t="shared" si="1"/>
        <v>356.46800000000002</v>
      </c>
      <c r="G4" s="2">
        <f t="shared" si="2"/>
        <v>101.84800000000001</v>
      </c>
      <c r="H4" s="15">
        <f t="shared" si="0"/>
        <v>254.62</v>
      </c>
      <c r="I4" s="2">
        <f t="shared" si="3"/>
        <v>79.02</v>
      </c>
      <c r="J4" s="2">
        <v>175.6</v>
      </c>
      <c r="K4" s="2" t="s">
        <v>306</v>
      </c>
      <c r="L4" s="2" t="s">
        <v>106</v>
      </c>
      <c r="M4" s="9"/>
      <c r="N4" s="27" t="s">
        <v>520</v>
      </c>
      <c r="O4" s="28"/>
      <c r="P4" s="28"/>
      <c r="Q4" s="28"/>
      <c r="R4" s="28"/>
      <c r="S4" s="29"/>
    </row>
    <row r="5" spans="1:19" ht="40.200000000000003" customHeight="1" x14ac:dyDescent="0.25">
      <c r="A5" s="11">
        <v>3</v>
      </c>
      <c r="B5" s="11" t="s">
        <v>503</v>
      </c>
      <c r="C5" s="11" t="str">
        <v>Shadow Breakfast</v>
      </c>
      <c r="D5" s="16" t="str">
        <v xml:space="preserve"> Omelette - Frankfurter - Smoked Turkey - Mushroom - Cherry Tomato - Mashed Potatoes - Butter - Jam - Toast</v>
      </c>
      <c r="E5" s="16" t="s">
        <v>526</v>
      </c>
      <c r="F5" s="24">
        <f t="shared" si="1"/>
        <v>403.36099999999999</v>
      </c>
      <c r="G5" s="2">
        <f t="shared" si="2"/>
        <v>115.24600000000001</v>
      </c>
      <c r="H5" s="15">
        <f t="shared" si="0"/>
        <v>288.11500000000001</v>
      </c>
      <c r="I5" s="2">
        <f t="shared" si="3"/>
        <v>89.414999999999992</v>
      </c>
      <c r="J5" s="2">
        <v>198.7</v>
      </c>
      <c r="K5" s="2" t="s">
        <v>442</v>
      </c>
      <c r="L5" s="2" t="s">
        <v>504</v>
      </c>
      <c r="M5" s="6"/>
    </row>
    <row r="6" spans="1:19" ht="40.200000000000003" hidden="1" customHeight="1" thickBot="1" x14ac:dyDescent="0.3">
      <c r="A6" s="11"/>
      <c r="B6" s="11"/>
      <c r="C6" s="11" t="str">
        <v/>
      </c>
      <c r="D6" s="16" t="str">
        <v/>
      </c>
      <c r="E6" s="16"/>
      <c r="F6" s="24">
        <f t="shared" si="1"/>
        <v>403.36099999999999</v>
      </c>
      <c r="G6" s="2">
        <f t="shared" si="2"/>
        <v>115.24600000000001</v>
      </c>
      <c r="H6" s="15">
        <f t="shared" si="0"/>
        <v>288.11500000000001</v>
      </c>
      <c r="I6" s="2">
        <f t="shared" si="3"/>
        <v>89.414999999999992</v>
      </c>
      <c r="J6" s="2">
        <v>198.7</v>
      </c>
      <c r="K6" s="2" t="s">
        <v>443</v>
      </c>
      <c r="L6" s="2" t="s">
        <v>308</v>
      </c>
      <c r="M6" s="9"/>
      <c r="N6" s="30" t="s">
        <v>521</v>
      </c>
      <c r="O6" s="31"/>
      <c r="P6" s="31"/>
      <c r="Q6" s="31"/>
      <c r="R6" s="31"/>
      <c r="S6" s="32"/>
    </row>
    <row r="7" spans="1:19" ht="40.200000000000003" customHeight="1" x14ac:dyDescent="0.25">
      <c r="A7" s="11">
        <v>4</v>
      </c>
      <c r="B7" s="11" t="s">
        <v>99</v>
      </c>
      <c r="C7" s="11" t="str">
        <v>Oriental Breakfast</v>
      </c>
      <c r="D7" s="16" t="str">
        <v>Beans - Falafel - Mexican Sausage - Omelette - Cheese Withtomato  -Romy Cheese -  French Fries -  Assorted Luncheon Meat</v>
      </c>
      <c r="E7" s="16" t="s">
        <v>579</v>
      </c>
      <c r="F7" s="24">
        <f t="shared" ref="F7:F8" si="4">+G7+H7</f>
        <v>280.14</v>
      </c>
      <c r="G7" s="2">
        <f t="shared" ref="G7:G8" si="5">+H7*40%</f>
        <v>80.040000000000006</v>
      </c>
      <c r="H7" s="15">
        <f t="shared" ref="H7:H8" si="6">+I7+J7</f>
        <v>200.1</v>
      </c>
      <c r="I7" s="2">
        <f t="shared" si="3"/>
        <v>62.1</v>
      </c>
      <c r="J7" s="2">
        <v>138</v>
      </c>
      <c r="K7" s="2" t="s">
        <v>310</v>
      </c>
      <c r="L7" s="2" t="s">
        <v>309</v>
      </c>
      <c r="M7" s="6"/>
    </row>
    <row r="8" spans="1:19" ht="40.200000000000003" customHeight="1" x14ac:dyDescent="0.25">
      <c r="A8" s="11">
        <v>5</v>
      </c>
      <c r="B8" s="11" t="s">
        <v>693</v>
      </c>
      <c r="C8" s="11" t="str">
        <v>Feteer Meshaltet</v>
      </c>
      <c r="D8" s="16" t="str">
        <v>Traditional Egyptian Flaky Pastry, Freshly Baked And Served Warm With Two Side Dishes ( Morta - White Honey - Black Honey - Cream Qeshta - Old Cheese )</v>
      </c>
      <c r="E8" s="16" t="s">
        <v>695</v>
      </c>
      <c r="F8" s="24">
        <f t="shared" si="4"/>
        <v>537.95000000000005</v>
      </c>
      <c r="G8" s="2">
        <f t="shared" si="5"/>
        <v>153.70000000000002</v>
      </c>
      <c r="H8" s="15">
        <f t="shared" si="6"/>
        <v>384.25</v>
      </c>
      <c r="I8" s="2">
        <f t="shared" si="3"/>
        <v>119.25</v>
      </c>
      <c r="J8" s="2">
        <v>265</v>
      </c>
      <c r="K8" s="2" t="s">
        <v>696</v>
      </c>
      <c r="L8" s="2" t="s">
        <v>694</v>
      </c>
      <c r="M8" s="6"/>
    </row>
    <row r="9" spans="1:19" ht="40.200000000000003" customHeight="1" x14ac:dyDescent="0.25">
      <c r="A9" s="10">
        <v>2</v>
      </c>
      <c r="B9" s="10" t="s">
        <v>4</v>
      </c>
      <c r="C9" s="10" t="str">
        <v>Soup</v>
      </c>
      <c r="D9" s="17" t="str">
        <v>Ingredients</v>
      </c>
      <c r="E9" s="17" t="s">
        <v>103</v>
      </c>
      <c r="F9" s="14" t="s">
        <v>104</v>
      </c>
      <c r="G9" s="14" t="s">
        <v>104</v>
      </c>
      <c r="H9" s="14" t="s">
        <v>104</v>
      </c>
      <c r="I9" s="1" t="s">
        <v>104</v>
      </c>
      <c r="J9" s="1" t="s">
        <v>104</v>
      </c>
      <c r="K9" s="1" t="s">
        <v>102</v>
      </c>
      <c r="L9" s="1" t="s">
        <v>125</v>
      </c>
      <c r="M9" s="5">
        <v>3</v>
      </c>
    </row>
    <row r="10" spans="1:19" ht="40.200000000000003" customHeight="1" x14ac:dyDescent="0.25">
      <c r="A10" s="12">
        <v>1</v>
      </c>
      <c r="B10" s="12" t="s">
        <v>5</v>
      </c>
      <c r="C10" s="12" t="str">
        <v>Onion Soup</v>
      </c>
      <c r="D10" s="13" t="str">
        <v>Caramelized Onions - Mozzarella - Toast</v>
      </c>
      <c r="E10" s="13" t="s">
        <v>444</v>
      </c>
      <c r="F10" s="24">
        <f t="shared" ref="F10:F12" si="7">+G10+H10</f>
        <v>151.23500000000001</v>
      </c>
      <c r="G10" s="2">
        <f t="shared" si="2"/>
        <v>43.210000000000008</v>
      </c>
      <c r="H10" s="15">
        <f t="shared" ref="H10:H15" si="8">+I10+J10</f>
        <v>108.02500000000001</v>
      </c>
      <c r="I10" s="2">
        <f>+J10*45%</f>
        <v>33.524999999999999</v>
      </c>
      <c r="J10" s="3">
        <v>74.5</v>
      </c>
      <c r="K10" s="3" t="s">
        <v>311</v>
      </c>
      <c r="L10" s="3" t="s">
        <v>120</v>
      </c>
      <c r="M10" s="7"/>
    </row>
    <row r="11" spans="1:19" ht="40.200000000000003" customHeight="1" x14ac:dyDescent="0.25">
      <c r="A11" s="12">
        <v>2</v>
      </c>
      <c r="B11" s="12" t="s">
        <v>6</v>
      </c>
      <c r="C11" s="12" t="str">
        <v>Creamy Chicken Soup</v>
      </c>
      <c r="D11" s="13" t="str">
        <v>Ingredients: Creamy Soup - Chicken</v>
      </c>
      <c r="E11" s="13" t="s">
        <v>527</v>
      </c>
      <c r="F11" s="24">
        <f t="shared" si="7"/>
        <v>201.57900000000001</v>
      </c>
      <c r="G11" s="2">
        <f t="shared" si="2"/>
        <v>57.594000000000008</v>
      </c>
      <c r="H11" s="15">
        <f t="shared" si="8"/>
        <v>143.98500000000001</v>
      </c>
      <c r="I11" s="2">
        <f t="shared" ref="I11:I15" si="9">+J11*45%</f>
        <v>44.685000000000002</v>
      </c>
      <c r="J11" s="3">
        <v>99.3</v>
      </c>
      <c r="K11" s="3" t="s">
        <v>312</v>
      </c>
      <c r="L11" s="3" t="s">
        <v>150</v>
      </c>
      <c r="M11" s="7"/>
    </row>
    <row r="12" spans="1:19" ht="40.200000000000003" customHeight="1" x14ac:dyDescent="0.25">
      <c r="A12" s="12">
        <v>3</v>
      </c>
      <c r="B12" s="12" t="s">
        <v>107</v>
      </c>
      <c r="C12" s="12" t="str">
        <v>Creamy Mushroom Soup</v>
      </c>
      <c r="D12" s="13" t="str">
        <v>Ingredients: Creamy Soup - Mushroom</v>
      </c>
      <c r="E12" s="13" t="s">
        <v>528</v>
      </c>
      <c r="F12" s="24">
        <f t="shared" si="7"/>
        <v>180.67000000000002</v>
      </c>
      <c r="G12" s="2">
        <f t="shared" si="2"/>
        <v>51.620000000000005</v>
      </c>
      <c r="H12" s="15">
        <f t="shared" si="8"/>
        <v>129.05000000000001</v>
      </c>
      <c r="I12" s="2">
        <f t="shared" si="9"/>
        <v>40.050000000000004</v>
      </c>
      <c r="J12" s="3">
        <v>89</v>
      </c>
      <c r="K12" s="3" t="s">
        <v>313</v>
      </c>
      <c r="L12" s="3" t="s">
        <v>121</v>
      </c>
      <c r="M12" s="7"/>
    </row>
    <row r="13" spans="1:19" ht="40.200000000000003" customHeight="1" x14ac:dyDescent="0.25">
      <c r="A13" s="12">
        <v>4</v>
      </c>
      <c r="B13" s="12" t="s">
        <v>108</v>
      </c>
      <c r="C13" s="12" t="str">
        <v>Lentil Soup</v>
      </c>
      <c r="D13" s="13" t="str">
        <v>Yellow Lentil Soup</v>
      </c>
      <c r="E13" s="13" t="s">
        <v>445</v>
      </c>
      <c r="F13" s="24">
        <f t="shared" ref="F13:F15" si="10">+G13+H13</f>
        <v>148.19</v>
      </c>
      <c r="G13" s="2">
        <f t="shared" si="2"/>
        <v>42.34</v>
      </c>
      <c r="H13" s="15">
        <f t="shared" si="8"/>
        <v>105.85</v>
      </c>
      <c r="I13" s="2">
        <f t="shared" si="9"/>
        <v>32.85</v>
      </c>
      <c r="J13" s="3">
        <v>73</v>
      </c>
      <c r="K13" s="3" t="s">
        <v>314</v>
      </c>
      <c r="L13" s="3" t="s">
        <v>122</v>
      </c>
      <c r="M13" s="7"/>
    </row>
    <row r="14" spans="1:19" ht="40.200000000000003" customHeight="1" x14ac:dyDescent="0.25">
      <c r="A14" s="12">
        <v>5</v>
      </c>
      <c r="B14" s="12" t="s">
        <v>109</v>
      </c>
      <c r="C14" s="12" t="str">
        <v>Orzo Soup</v>
      </c>
      <c r="D14" s="13" t="str">
        <v>Orzo Soup</v>
      </c>
      <c r="E14" s="13" t="s">
        <v>109</v>
      </c>
      <c r="F14" s="24">
        <f t="shared" si="10"/>
        <v>148.19</v>
      </c>
      <c r="G14" s="2">
        <f t="shared" si="2"/>
        <v>42.34</v>
      </c>
      <c r="H14" s="15">
        <f t="shared" si="8"/>
        <v>105.85</v>
      </c>
      <c r="I14" s="2">
        <f t="shared" si="9"/>
        <v>32.85</v>
      </c>
      <c r="J14" s="3">
        <v>73</v>
      </c>
      <c r="K14" s="3" t="s">
        <v>315</v>
      </c>
      <c r="L14" s="3" t="s">
        <v>123</v>
      </c>
      <c r="M14" s="7"/>
    </row>
    <row r="15" spans="1:19" ht="40.200000000000003" customHeight="1" x14ac:dyDescent="0.25">
      <c r="A15" s="12">
        <v>6</v>
      </c>
      <c r="B15" s="11" t="s">
        <v>110</v>
      </c>
      <c r="C15" s="11" t="str">
        <v>Vegetable Soup</v>
      </c>
      <c r="D15" s="16" t="str">
        <v>Vegetable Soup</v>
      </c>
      <c r="E15" s="16" t="s">
        <v>110</v>
      </c>
      <c r="F15" s="24">
        <f t="shared" si="10"/>
        <v>148.19</v>
      </c>
      <c r="G15" s="2">
        <f t="shared" si="2"/>
        <v>42.34</v>
      </c>
      <c r="H15" s="15">
        <f t="shared" si="8"/>
        <v>105.85</v>
      </c>
      <c r="I15" s="2">
        <f t="shared" si="9"/>
        <v>32.85</v>
      </c>
      <c r="J15" s="2">
        <v>73</v>
      </c>
      <c r="K15" s="2" t="s">
        <v>316</v>
      </c>
      <c r="L15" s="2" t="s">
        <v>124</v>
      </c>
      <c r="M15" s="6"/>
    </row>
    <row r="16" spans="1:19" ht="40.200000000000003" customHeight="1" x14ac:dyDescent="0.25">
      <c r="A16" s="10">
        <v>3</v>
      </c>
      <c r="B16" s="10" t="s">
        <v>1</v>
      </c>
      <c r="C16" s="10" t="str">
        <v>Appetizers</v>
      </c>
      <c r="D16" s="17" t="str">
        <v>Ingredients</v>
      </c>
      <c r="E16" s="17" t="s">
        <v>103</v>
      </c>
      <c r="F16" s="14" t="s">
        <v>104</v>
      </c>
      <c r="G16" s="14" t="s">
        <v>104</v>
      </c>
      <c r="H16" s="14" t="s">
        <v>104</v>
      </c>
      <c r="I16" s="1" t="s">
        <v>104</v>
      </c>
      <c r="J16" s="1" t="s">
        <v>104</v>
      </c>
      <c r="K16" s="1" t="s">
        <v>102</v>
      </c>
      <c r="L16" s="1" t="s">
        <v>126</v>
      </c>
      <c r="M16" s="5">
        <v>4</v>
      </c>
    </row>
    <row r="17" spans="1:13" ht="40.200000000000003" customHeight="1" x14ac:dyDescent="0.25">
      <c r="A17" s="11">
        <v>1</v>
      </c>
      <c r="B17" s="11" t="s">
        <v>2</v>
      </c>
      <c r="C17" s="11" t="str">
        <v>Chicken Strips</v>
      </c>
      <c r="D17" s="16" t="str">
        <v>Fried Chicken - Honey Mustard Sauce</v>
      </c>
      <c r="E17" s="16" t="s">
        <v>446</v>
      </c>
      <c r="F17" s="24">
        <f t="shared" ref="F17:F81" si="11">+G17+H17</f>
        <v>280.14</v>
      </c>
      <c r="G17" s="2">
        <f t="shared" si="2"/>
        <v>80.040000000000006</v>
      </c>
      <c r="H17" s="15">
        <f t="shared" ref="H17:H22" si="12">+I17+J17</f>
        <v>200.1</v>
      </c>
      <c r="I17" s="2">
        <f>+J17*45%</f>
        <v>62.1</v>
      </c>
      <c r="J17" s="2">
        <v>138</v>
      </c>
      <c r="K17" s="2" t="s">
        <v>317</v>
      </c>
      <c r="L17" s="2" t="s">
        <v>127</v>
      </c>
      <c r="M17" s="6"/>
    </row>
    <row r="18" spans="1:13" ht="40.200000000000003" customHeight="1" x14ac:dyDescent="0.25">
      <c r="A18" s="11">
        <v>2</v>
      </c>
      <c r="B18" s="11" t="s">
        <v>3</v>
      </c>
      <c r="C18" s="11" t="str">
        <v>Mozzarella Sticks</v>
      </c>
      <c r="D18" s="16" t="str">
        <v>Mozzarella Sticks</v>
      </c>
      <c r="E18" s="16" t="s">
        <v>3</v>
      </c>
      <c r="F18" s="24">
        <f t="shared" si="11"/>
        <v>251.72000000000003</v>
      </c>
      <c r="G18" s="2">
        <f t="shared" si="2"/>
        <v>71.92</v>
      </c>
      <c r="H18" s="15">
        <f t="shared" si="12"/>
        <v>179.8</v>
      </c>
      <c r="I18" s="2">
        <f t="shared" ref="I18:I24" si="13">+J18*45%</f>
        <v>55.800000000000004</v>
      </c>
      <c r="J18" s="2">
        <v>124</v>
      </c>
      <c r="K18" s="2" t="s">
        <v>318</v>
      </c>
      <c r="L18" s="2" t="s">
        <v>128</v>
      </c>
      <c r="M18" s="6"/>
    </row>
    <row r="19" spans="1:13" ht="40.200000000000003" customHeight="1" x14ac:dyDescent="0.25">
      <c r="A19" s="11">
        <v>3</v>
      </c>
      <c r="B19" s="11" t="s">
        <v>506</v>
      </c>
      <c r="C19" s="11" t="str">
        <v>Shadow Potatoes</v>
      </c>
      <c r="D19" s="16" t="str">
        <v>Fried Potatoes - Cheddar Sauce - Honey Mustard Sauce - Fried Chicken</v>
      </c>
      <c r="E19" s="16" t="s">
        <v>530</v>
      </c>
      <c r="F19" s="24">
        <f t="shared" si="11"/>
        <v>365.4</v>
      </c>
      <c r="G19" s="2">
        <f t="shared" si="2"/>
        <v>104.4</v>
      </c>
      <c r="H19" s="15">
        <f t="shared" si="12"/>
        <v>261</v>
      </c>
      <c r="I19" s="2">
        <f t="shared" si="13"/>
        <v>81</v>
      </c>
      <c r="J19" s="2">
        <v>180</v>
      </c>
      <c r="K19" s="2" t="s">
        <v>507</v>
      </c>
      <c r="L19" s="2" t="s">
        <v>508</v>
      </c>
      <c r="M19" s="6"/>
    </row>
    <row r="20" spans="1:13" ht="40.200000000000003" customHeight="1" x14ac:dyDescent="0.25">
      <c r="A20" s="11">
        <v>4</v>
      </c>
      <c r="B20" s="11" t="s">
        <v>531</v>
      </c>
      <c r="C20" s="11" t="str">
        <v>Chicken Quesadilla</v>
      </c>
      <c r="D20" s="16" t="str">
        <v>Tortilla Bread - Mozzarella - Cheddar - Chicken - Onion - Pepper</v>
      </c>
      <c r="E20" s="16" t="s">
        <v>529</v>
      </c>
      <c r="F20" s="24">
        <f t="shared" si="11"/>
        <v>284.2</v>
      </c>
      <c r="G20" s="2">
        <f t="shared" si="2"/>
        <v>81.2</v>
      </c>
      <c r="H20" s="15">
        <f t="shared" ref="H20" si="14">+I20+J20</f>
        <v>203</v>
      </c>
      <c r="I20" s="2">
        <f t="shared" si="13"/>
        <v>63</v>
      </c>
      <c r="J20" s="2">
        <v>140</v>
      </c>
      <c r="K20" s="2" t="s">
        <v>320</v>
      </c>
      <c r="L20" s="2" t="s">
        <v>319</v>
      </c>
      <c r="M20" s="6"/>
    </row>
    <row r="21" spans="1:13" ht="40.200000000000003" customHeight="1" x14ac:dyDescent="0.25">
      <c r="A21" s="11">
        <v>5</v>
      </c>
      <c r="B21" s="11" t="s">
        <v>130</v>
      </c>
      <c r="C21" s="11" t="str">
        <v>Vegetable Quesdilla</v>
      </c>
      <c r="D21" s="16" t="str">
        <v>Tortilla Bread - Mozzarella - Cheddar - Onion - Pepper</v>
      </c>
      <c r="E21" s="16" t="s">
        <v>534</v>
      </c>
      <c r="F21" s="24">
        <f t="shared" si="11"/>
        <v>257.81</v>
      </c>
      <c r="G21" s="2">
        <f t="shared" si="2"/>
        <v>73.660000000000011</v>
      </c>
      <c r="H21" s="15">
        <f t="shared" si="12"/>
        <v>184.15</v>
      </c>
      <c r="I21" s="2">
        <f t="shared" si="13"/>
        <v>57.15</v>
      </c>
      <c r="J21" s="2">
        <v>127</v>
      </c>
      <c r="K21" s="2" t="s">
        <v>321</v>
      </c>
      <c r="L21" s="2" t="s">
        <v>129</v>
      </c>
      <c r="M21" s="6"/>
    </row>
    <row r="22" spans="1:13" ht="40.200000000000003" customHeight="1" x14ac:dyDescent="0.25">
      <c r="A22" s="11">
        <v>6</v>
      </c>
      <c r="B22" s="11" t="s">
        <v>532</v>
      </c>
      <c r="C22" s="11" t="str">
        <v>Cheese Sambousek (4 Pieces)</v>
      </c>
      <c r="D22" s="16" t="str">
        <v>Cheese Sambousek</v>
      </c>
      <c r="E22" s="16" t="s">
        <v>535</v>
      </c>
      <c r="F22" s="24">
        <f t="shared" si="11"/>
        <v>182.7</v>
      </c>
      <c r="G22" s="2">
        <f t="shared" si="2"/>
        <v>52.2</v>
      </c>
      <c r="H22" s="15">
        <f t="shared" si="12"/>
        <v>130.5</v>
      </c>
      <c r="I22" s="2">
        <f t="shared" si="13"/>
        <v>40.5</v>
      </c>
      <c r="J22" s="2">
        <v>90</v>
      </c>
      <c r="K22" s="2" t="s">
        <v>322</v>
      </c>
      <c r="L22" s="2" t="s">
        <v>131</v>
      </c>
      <c r="M22" s="6"/>
    </row>
    <row r="23" spans="1:13" ht="40.200000000000003" customHeight="1" x14ac:dyDescent="0.25">
      <c r="A23" s="11">
        <v>7</v>
      </c>
      <c r="B23" s="11" t="s">
        <v>533</v>
      </c>
      <c r="C23" s="11" t="str">
        <v>Meat Sambousek (4 Pieces)</v>
      </c>
      <c r="D23" s="16" t="str">
        <v>Meat Sambousek</v>
      </c>
      <c r="E23" s="16" t="s">
        <v>536</v>
      </c>
      <c r="F23" s="24">
        <f t="shared" si="11"/>
        <v>241.16399999999999</v>
      </c>
      <c r="G23" s="2">
        <f t="shared" si="2"/>
        <v>68.903999999999996</v>
      </c>
      <c r="H23" s="15">
        <f t="shared" ref="H23" si="15">+I23+J23</f>
        <v>172.26</v>
      </c>
      <c r="I23" s="2">
        <f t="shared" si="13"/>
        <v>53.46</v>
      </c>
      <c r="J23" s="2">
        <v>118.8</v>
      </c>
      <c r="K23" s="2" t="s">
        <v>323</v>
      </c>
      <c r="L23" s="2" t="s">
        <v>132</v>
      </c>
      <c r="M23" s="6"/>
    </row>
    <row r="24" spans="1:13" ht="40.200000000000003" customHeight="1" x14ac:dyDescent="0.25">
      <c r="A24" s="11">
        <v>8</v>
      </c>
      <c r="B24" s="11" t="s">
        <v>505</v>
      </c>
      <c r="C24" s="11" t="str">
        <v>Hot Chicken Balls</v>
      </c>
      <c r="D24" s="16" t="str">
        <v>Tender Fried Rolled Chicken With Cheese And Louisiana Mayo Dip</v>
      </c>
      <c r="E24" s="16" t="s">
        <v>537</v>
      </c>
      <c r="F24" s="24">
        <f t="shared" si="11"/>
        <v>389.76</v>
      </c>
      <c r="G24" s="2">
        <f t="shared" si="2"/>
        <v>111.36</v>
      </c>
      <c r="H24" s="15">
        <f t="shared" ref="H24" si="16">+I24+J24</f>
        <v>278.39999999999998</v>
      </c>
      <c r="I24" s="2">
        <f t="shared" si="13"/>
        <v>86.4</v>
      </c>
      <c r="J24" s="2">
        <v>192</v>
      </c>
      <c r="K24" s="2"/>
      <c r="L24" s="2"/>
      <c r="M24" s="6"/>
    </row>
    <row r="25" spans="1:13" ht="40.200000000000003" customHeight="1" x14ac:dyDescent="0.25">
      <c r="A25" s="10">
        <v>4</v>
      </c>
      <c r="B25" s="10" t="s">
        <v>7</v>
      </c>
      <c r="C25" s="10" t="str">
        <v>Salad</v>
      </c>
      <c r="D25" s="17" t="str">
        <v>Ingredients</v>
      </c>
      <c r="E25" s="17" t="s">
        <v>103</v>
      </c>
      <c r="F25" s="14" t="s">
        <v>104</v>
      </c>
      <c r="G25" s="14" t="s">
        <v>104</v>
      </c>
      <c r="H25" s="14" t="s">
        <v>104</v>
      </c>
      <c r="I25" s="1" t="s">
        <v>104</v>
      </c>
      <c r="J25" s="1" t="s">
        <v>104</v>
      </c>
      <c r="K25" s="1" t="s">
        <v>102</v>
      </c>
      <c r="L25" s="1" t="s">
        <v>133</v>
      </c>
      <c r="M25" s="5">
        <v>5</v>
      </c>
    </row>
    <row r="26" spans="1:13" ht="40.200000000000003" customHeight="1" x14ac:dyDescent="0.25">
      <c r="A26" s="12">
        <v>1</v>
      </c>
      <c r="B26" s="12" t="s">
        <v>538</v>
      </c>
      <c r="C26" s="12" t="str">
        <v>Greek Salad</v>
      </c>
      <c r="D26" s="13" t="str">
        <v>Lettuce - Pepper - Onion - Cherry Tomato - Feta Cheese - Olives</v>
      </c>
      <c r="E26" s="13" t="s">
        <v>541</v>
      </c>
      <c r="F26" s="24">
        <f t="shared" si="11"/>
        <v>288.26</v>
      </c>
      <c r="G26" s="2">
        <f t="shared" si="2"/>
        <v>82.360000000000014</v>
      </c>
      <c r="H26" s="15">
        <f t="shared" ref="H26:H32" si="17">+I26+J26</f>
        <v>205.9</v>
      </c>
      <c r="I26" s="2">
        <f>+J26*42%</f>
        <v>60.9</v>
      </c>
      <c r="J26" s="3">
        <v>145</v>
      </c>
      <c r="K26" s="3" t="s">
        <v>324</v>
      </c>
      <c r="L26" s="3" t="s">
        <v>134</v>
      </c>
      <c r="M26" s="7"/>
    </row>
    <row r="27" spans="1:13" ht="40.200000000000003" customHeight="1" x14ac:dyDescent="0.25">
      <c r="A27" s="12">
        <v>2</v>
      </c>
      <c r="B27" s="12" t="s">
        <v>539</v>
      </c>
      <c r="C27" s="12" t="str">
        <v>Chicken Caesar Salad</v>
      </c>
      <c r="D27" s="13" t="str">
        <v>Chicken - Lettuce - Parmesan - Cherry Tomato - Toast</v>
      </c>
      <c r="E27" s="13" t="s">
        <v>542</v>
      </c>
      <c r="F27" s="24">
        <f t="shared" si="11"/>
        <v>361.81600000000003</v>
      </c>
      <c r="G27" s="2">
        <f t="shared" si="2"/>
        <v>103.376</v>
      </c>
      <c r="H27" s="15">
        <f t="shared" si="17"/>
        <v>258.44</v>
      </c>
      <c r="I27" s="2">
        <f t="shared" ref="I27:I29" si="18">+J27*42%</f>
        <v>76.44</v>
      </c>
      <c r="J27" s="3">
        <v>182</v>
      </c>
      <c r="K27" s="3" t="s">
        <v>327</v>
      </c>
      <c r="L27" s="3" t="s">
        <v>325</v>
      </c>
      <c r="M27" s="7"/>
    </row>
    <row r="28" spans="1:13" ht="40.200000000000003" customHeight="1" x14ac:dyDescent="0.25">
      <c r="A28" s="12">
        <v>3</v>
      </c>
      <c r="B28" s="12" t="s">
        <v>8</v>
      </c>
      <c r="C28" s="12" t="str">
        <v>Chicken Avocado Salad</v>
      </c>
      <c r="D28" s="13" t="str">
        <v>Chicken - Avocado - Carrots - Corn - Mushroom - Toast</v>
      </c>
      <c r="E28" s="13" t="s">
        <v>447</v>
      </c>
      <c r="F28" s="24">
        <f t="shared" si="11"/>
        <v>361.81600000000003</v>
      </c>
      <c r="G28" s="2">
        <f t="shared" si="2"/>
        <v>103.376</v>
      </c>
      <c r="H28" s="15">
        <f t="shared" si="17"/>
        <v>258.44</v>
      </c>
      <c r="I28" s="2">
        <f t="shared" si="18"/>
        <v>76.44</v>
      </c>
      <c r="J28" s="3">
        <v>182</v>
      </c>
      <c r="K28" s="3" t="s">
        <v>328</v>
      </c>
      <c r="L28" s="3" t="s">
        <v>326</v>
      </c>
      <c r="M28" s="7"/>
    </row>
    <row r="29" spans="1:13" ht="40.200000000000003" customHeight="1" x14ac:dyDescent="0.25">
      <c r="A29" s="12">
        <v>4</v>
      </c>
      <c r="B29" s="12" t="s">
        <v>9</v>
      </c>
      <c r="C29" s="12" t="str">
        <v>Beef Apple Salad</v>
      </c>
      <c r="D29" s="13" t="str">
        <v>Beef - Smoked Turkey - Cherry Tomato - Lettuce - Apple - Kiwi - Walnuts</v>
      </c>
      <c r="E29" s="13" t="s">
        <v>543</v>
      </c>
      <c r="F29" s="24">
        <f t="shared" si="11"/>
        <v>532.78399999999999</v>
      </c>
      <c r="G29" s="2">
        <f t="shared" si="2"/>
        <v>152.22400000000002</v>
      </c>
      <c r="H29" s="15">
        <f t="shared" si="17"/>
        <v>380.56</v>
      </c>
      <c r="I29" s="2">
        <f t="shared" si="18"/>
        <v>112.56</v>
      </c>
      <c r="J29" s="3">
        <v>268</v>
      </c>
      <c r="K29" s="3" t="s">
        <v>448</v>
      </c>
      <c r="L29" s="3" t="s">
        <v>135</v>
      </c>
      <c r="M29" s="7"/>
    </row>
    <row r="30" spans="1:13" ht="40.200000000000003" customHeight="1" x14ac:dyDescent="0.25">
      <c r="A30" s="12">
        <v>5</v>
      </c>
      <c r="B30" s="12" t="s">
        <v>111</v>
      </c>
      <c r="C30" s="12" t="str">
        <v>Tahina Salad</v>
      </c>
      <c r="D30" s="13" t="str">
        <v>Tahina</v>
      </c>
      <c r="E30" s="13" t="s">
        <v>544</v>
      </c>
      <c r="F30" s="24">
        <f t="shared" si="11"/>
        <v>124.32</v>
      </c>
      <c r="G30" s="2">
        <f t="shared" si="2"/>
        <v>35.520000000000003</v>
      </c>
      <c r="H30" s="15">
        <f t="shared" si="17"/>
        <v>88.8</v>
      </c>
      <c r="I30" s="2">
        <f>+J30*20%</f>
        <v>14.8</v>
      </c>
      <c r="J30" s="3">
        <v>74</v>
      </c>
      <c r="K30" s="3" t="s">
        <v>440</v>
      </c>
      <c r="L30" s="3" t="s">
        <v>136</v>
      </c>
      <c r="M30" s="7"/>
    </row>
    <row r="31" spans="1:13" ht="40.200000000000003" customHeight="1" x14ac:dyDescent="0.25">
      <c r="A31" s="12">
        <v>6</v>
      </c>
      <c r="B31" s="12" t="s">
        <v>540</v>
      </c>
      <c r="C31" s="12" t="str">
        <v>Baba Ghanoush Salad</v>
      </c>
      <c r="D31" s="13" t="str">
        <v>Baba Ghanoush</v>
      </c>
      <c r="E31" s="13" t="s">
        <v>449</v>
      </c>
      <c r="F31" s="24">
        <f t="shared" si="11"/>
        <v>124.32</v>
      </c>
      <c r="G31" s="2">
        <f t="shared" si="2"/>
        <v>35.520000000000003</v>
      </c>
      <c r="H31" s="15">
        <f t="shared" si="17"/>
        <v>88.8</v>
      </c>
      <c r="I31" s="2">
        <f t="shared" ref="I31:I32" si="19">+J31*20%</f>
        <v>14.8</v>
      </c>
      <c r="J31" s="3">
        <v>74</v>
      </c>
      <c r="K31" s="3" t="s">
        <v>137</v>
      </c>
      <c r="L31" s="3" t="s">
        <v>137</v>
      </c>
      <c r="M31" s="7"/>
    </row>
    <row r="32" spans="1:13" ht="40.200000000000003" customHeight="1" x14ac:dyDescent="0.25">
      <c r="A32" s="12">
        <v>7</v>
      </c>
      <c r="B32" s="12" t="s">
        <v>112</v>
      </c>
      <c r="C32" s="12" t="str">
        <v>Oriental Salad</v>
      </c>
      <c r="D32" s="13" t="str">
        <v>Tomato - Cucumber - Greens</v>
      </c>
      <c r="E32" s="13" t="s">
        <v>545</v>
      </c>
      <c r="F32" s="24">
        <f t="shared" si="11"/>
        <v>124.32</v>
      </c>
      <c r="G32" s="2">
        <f t="shared" si="2"/>
        <v>35.520000000000003</v>
      </c>
      <c r="H32" s="15">
        <f t="shared" si="17"/>
        <v>88.8</v>
      </c>
      <c r="I32" s="2">
        <f t="shared" si="19"/>
        <v>14.8</v>
      </c>
      <c r="J32" s="3">
        <v>74</v>
      </c>
      <c r="K32" s="3" t="s">
        <v>329</v>
      </c>
      <c r="L32" s="3" t="s">
        <v>138</v>
      </c>
      <c r="M32" s="7"/>
    </row>
    <row r="33" spans="1:13" ht="40.200000000000003" customHeight="1" x14ac:dyDescent="0.25">
      <c r="A33" s="10">
        <v>5</v>
      </c>
      <c r="B33" s="10" t="s">
        <v>115</v>
      </c>
      <c r="C33" s="10" t="str">
        <v xml:space="preserve">Chicken Main Course </v>
      </c>
      <c r="D33" s="17" t="str">
        <v>Ingredients</v>
      </c>
      <c r="E33" s="17" t="s">
        <v>103</v>
      </c>
      <c r="F33" s="14" t="s">
        <v>104</v>
      </c>
      <c r="G33" s="14" t="s">
        <v>104</v>
      </c>
      <c r="H33" s="14" t="s">
        <v>104</v>
      </c>
      <c r="I33" s="1" t="s">
        <v>104</v>
      </c>
      <c r="J33" s="1" t="s">
        <v>104</v>
      </c>
      <c r="K33" s="1" t="s">
        <v>102</v>
      </c>
      <c r="L33" s="1" t="s">
        <v>142</v>
      </c>
      <c r="M33" s="5">
        <v>7</v>
      </c>
    </row>
    <row r="34" spans="1:13" ht="40.200000000000003" customHeight="1" x14ac:dyDescent="0.25">
      <c r="A34" s="11">
        <v>1</v>
      </c>
      <c r="B34" s="11" t="s">
        <v>652</v>
      </c>
      <c r="C34" s="11" t="str">
        <v>Smoked Chicken Breast</v>
      </c>
      <c r="D34" s="16" t="str">
        <v>Chicken Breast - Garlic -  Ketchup -  Salt -  Pepper Sauce - Paprika -  Olive Oil With Two Side Dishes ( Smoked Rice - Fries - Sauteed Vegetables - Mashed Potatoes)</v>
      </c>
      <c r="E34" s="16" t="s">
        <v>653</v>
      </c>
      <c r="F34" s="24">
        <f t="shared" si="11"/>
        <v>854.84</v>
      </c>
      <c r="G34" s="2">
        <f t="shared" si="2"/>
        <v>244.24</v>
      </c>
      <c r="H34" s="15">
        <f t="shared" ref="H34" si="20">+I34+J34</f>
        <v>610.6</v>
      </c>
      <c r="I34" s="2">
        <f t="shared" ref="I34:I43" si="21">+J34*42%</f>
        <v>180.6</v>
      </c>
      <c r="J34" s="2">
        <v>430</v>
      </c>
      <c r="K34" s="2"/>
      <c r="L34" s="2"/>
      <c r="M34" s="6"/>
    </row>
    <row r="35" spans="1:13" ht="40.200000000000003" customHeight="1" x14ac:dyDescent="0.25">
      <c r="A35" s="11">
        <v>2</v>
      </c>
      <c r="B35" s="11" t="s">
        <v>113</v>
      </c>
      <c r="C35" s="11" t="str">
        <v>Chicken Shish</v>
      </c>
      <c r="D35" s="16" t="str">
        <v>Chicken Shish Tawook</v>
      </c>
      <c r="E35" s="16" t="s">
        <v>549</v>
      </c>
      <c r="F35" s="24">
        <f t="shared" si="11"/>
        <v>765.38000000000011</v>
      </c>
      <c r="G35" s="2">
        <f t="shared" si="2"/>
        <v>218.68000000000004</v>
      </c>
      <c r="H35" s="15">
        <f t="shared" ref="H35" si="22">+I35+J35</f>
        <v>546.70000000000005</v>
      </c>
      <c r="I35" s="2">
        <f t="shared" si="21"/>
        <v>161.69999999999999</v>
      </c>
      <c r="J35" s="2">
        <v>385</v>
      </c>
      <c r="K35" s="2" t="s">
        <v>330</v>
      </c>
      <c r="L35" s="2" t="s">
        <v>139</v>
      </c>
      <c r="M35" s="6"/>
    </row>
    <row r="36" spans="1:13" ht="40.200000000000003" hidden="1" customHeight="1" x14ac:dyDescent="0.25">
      <c r="A36" s="11"/>
      <c r="B36" s="11"/>
      <c r="C36" s="11" t="str">
        <v/>
      </c>
      <c r="D36" s="16" t="str">
        <v/>
      </c>
      <c r="E36" s="16"/>
      <c r="F36" s="24">
        <f t="shared" si="11"/>
        <v>695.8</v>
      </c>
      <c r="G36" s="2">
        <f t="shared" si="2"/>
        <v>198.8</v>
      </c>
      <c r="H36" s="15">
        <f t="shared" ref="H36:H43" si="23">+I36+J36</f>
        <v>497</v>
      </c>
      <c r="I36" s="2">
        <f t="shared" si="21"/>
        <v>147</v>
      </c>
      <c r="J36" s="2">
        <v>350</v>
      </c>
      <c r="K36" s="2" t="s">
        <v>331</v>
      </c>
      <c r="L36" s="2" t="s">
        <v>140</v>
      </c>
      <c r="M36" s="6"/>
    </row>
    <row r="37" spans="1:13" ht="40.200000000000003" customHeight="1" x14ac:dyDescent="0.25">
      <c r="A37" s="11">
        <v>3</v>
      </c>
      <c r="B37" s="12" t="s">
        <v>10</v>
      </c>
      <c r="C37" s="12" t="str">
        <v>Grilled Chicken</v>
      </c>
      <c r="D37" s="13" t="str">
        <v xml:space="preserve"> Grilled Chicken With Two Side Dishes (Rice - Fries - Sauteed Vegetables - Mashed Potatoes)</v>
      </c>
      <c r="E37" s="13" t="s">
        <v>550</v>
      </c>
      <c r="F37" s="24">
        <f t="shared" si="11"/>
        <v>765.38000000000011</v>
      </c>
      <c r="G37" s="2">
        <f t="shared" si="2"/>
        <v>218.68000000000004</v>
      </c>
      <c r="H37" s="15">
        <f t="shared" si="23"/>
        <v>546.70000000000005</v>
      </c>
      <c r="I37" s="2">
        <f t="shared" si="21"/>
        <v>161.69999999999999</v>
      </c>
      <c r="J37" s="3">
        <v>385</v>
      </c>
      <c r="K37" s="3" t="s">
        <v>333</v>
      </c>
      <c r="L37" s="3" t="s">
        <v>144</v>
      </c>
      <c r="M37" s="7"/>
    </row>
    <row r="38" spans="1:13" ht="40.200000000000003" customHeight="1" x14ac:dyDescent="0.25">
      <c r="A38" s="11">
        <v>4</v>
      </c>
      <c r="B38" s="12" t="s">
        <v>11</v>
      </c>
      <c r="C38" s="12" t="str">
        <v>Chicken Pesto</v>
      </c>
      <c r="D38" s="13" t="str">
        <v>Grilled Chicken - Beef Bacon - Pesto Sauce With Two Side Dishes (Rice - Fries - Sauteed Vegetables - Mashed Potatoes)</v>
      </c>
      <c r="E38" s="13" t="s">
        <v>551</v>
      </c>
      <c r="F38" s="24">
        <f t="shared" si="11"/>
        <v>821.0440000000001</v>
      </c>
      <c r="G38" s="2">
        <f t="shared" si="2"/>
        <v>234.58400000000003</v>
      </c>
      <c r="H38" s="15">
        <f t="shared" si="23"/>
        <v>586.46</v>
      </c>
      <c r="I38" s="2">
        <f t="shared" si="21"/>
        <v>173.45999999999998</v>
      </c>
      <c r="J38" s="3">
        <v>413</v>
      </c>
      <c r="K38" s="3" t="s">
        <v>334</v>
      </c>
      <c r="L38" s="3" t="s">
        <v>145</v>
      </c>
      <c r="M38" s="7"/>
    </row>
    <row r="39" spans="1:13" ht="40.200000000000003" customHeight="1" x14ac:dyDescent="0.25">
      <c r="A39" s="11">
        <v>5</v>
      </c>
      <c r="B39" s="12" t="s">
        <v>546</v>
      </c>
      <c r="C39" s="12" t="str">
        <v>Cordon Bleu</v>
      </c>
      <c r="D39" s="13" t="str">
        <v>Fried Chicken Stuffed With Mozzarella - Cheddar - Turkey With Richford Sauce With Two Side Dishes (Rice - Fries - Sauteed Vegetables - Mashed Potatoes)</v>
      </c>
      <c r="E39" s="13" t="s">
        <v>552</v>
      </c>
      <c r="F39" s="24">
        <f t="shared" si="11"/>
        <v>807.12799999999993</v>
      </c>
      <c r="G39" s="2">
        <f t="shared" si="2"/>
        <v>230.608</v>
      </c>
      <c r="H39" s="15">
        <f t="shared" si="23"/>
        <v>576.52</v>
      </c>
      <c r="I39" s="2">
        <f t="shared" si="21"/>
        <v>170.51999999999998</v>
      </c>
      <c r="J39" s="3">
        <v>406</v>
      </c>
      <c r="K39" s="3" t="s">
        <v>337</v>
      </c>
      <c r="L39" s="3" t="s">
        <v>146</v>
      </c>
      <c r="M39" s="7"/>
    </row>
    <row r="40" spans="1:13" ht="40.200000000000003" customHeight="1" x14ac:dyDescent="0.25">
      <c r="A40" s="11">
        <v>6</v>
      </c>
      <c r="B40" s="12" t="s">
        <v>12</v>
      </c>
      <c r="C40" s="12" t="str">
        <v>Chicken Parmesan</v>
      </c>
      <c r="D40" s="13" t="str">
        <v xml:space="preserve"> Fried Chicken With Salami - Pepperoni - Cheddar - Parmesan - Mozzarella With Two Side Dishes (Rice - Fries - Sauteed Vegetables - Mashed Potatoes)</v>
      </c>
      <c r="E40" s="13" t="s">
        <v>553</v>
      </c>
      <c r="F40" s="24">
        <f t="shared" si="11"/>
        <v>819.05599999999993</v>
      </c>
      <c r="G40" s="2">
        <f t="shared" si="2"/>
        <v>234.01599999999999</v>
      </c>
      <c r="H40" s="15">
        <f t="shared" si="23"/>
        <v>585.04</v>
      </c>
      <c r="I40" s="2">
        <f t="shared" si="21"/>
        <v>173.04</v>
      </c>
      <c r="J40" s="3">
        <v>412</v>
      </c>
      <c r="K40" s="3" t="s">
        <v>338</v>
      </c>
      <c r="L40" s="3" t="s">
        <v>147</v>
      </c>
      <c r="M40" s="7"/>
    </row>
    <row r="41" spans="1:13" ht="40.200000000000003" customHeight="1" x14ac:dyDescent="0.25">
      <c r="A41" s="11">
        <v>7</v>
      </c>
      <c r="B41" s="12" t="s">
        <v>547</v>
      </c>
      <c r="C41" s="12" t="str">
        <v>Chicken Curry And Shrimp</v>
      </c>
      <c r="D41" s="13" t="str">
        <v xml:space="preserve"> Grilled Chicken - Grilled Shrimp - Creamy Sauce - Pineapple Juice - Sauteed Vegetables</v>
      </c>
      <c r="E41" s="13" t="s">
        <v>554</v>
      </c>
      <c r="F41" s="24">
        <f t="shared" si="11"/>
        <v>974.5175999999999</v>
      </c>
      <c r="G41" s="2">
        <f t="shared" si="2"/>
        <v>278.43360000000001</v>
      </c>
      <c r="H41" s="15">
        <f t="shared" si="23"/>
        <v>696.08399999999995</v>
      </c>
      <c r="I41" s="2">
        <f t="shared" si="21"/>
        <v>205.88399999999999</v>
      </c>
      <c r="J41" s="3">
        <v>490.2</v>
      </c>
      <c r="K41" s="3" t="s">
        <v>339</v>
      </c>
      <c r="L41" s="3" t="s">
        <v>148</v>
      </c>
      <c r="M41" s="7"/>
    </row>
    <row r="42" spans="1:13" ht="40.200000000000003" customHeight="1" x14ac:dyDescent="0.25">
      <c r="A42" s="11">
        <v>8</v>
      </c>
      <c r="B42" s="12" t="s">
        <v>704</v>
      </c>
      <c r="C42" s="12" t="str">
        <v>Butter Chicken</v>
      </c>
      <c r="D42" s="13" t="str">
        <v>Chicken - White Rice - Indian Bread Nan</v>
      </c>
      <c r="E42" s="13" t="s">
        <v>705</v>
      </c>
      <c r="F42" s="24">
        <f t="shared" si="11"/>
        <v>785.26</v>
      </c>
      <c r="G42" s="2">
        <f t="shared" si="2"/>
        <v>224.36</v>
      </c>
      <c r="H42" s="15">
        <f t="shared" si="23"/>
        <v>560.9</v>
      </c>
      <c r="I42" s="2">
        <f t="shared" si="21"/>
        <v>165.9</v>
      </c>
      <c r="J42" s="3">
        <v>395</v>
      </c>
      <c r="K42" s="3" t="s">
        <v>707</v>
      </c>
      <c r="L42" s="3" t="s">
        <v>706</v>
      </c>
      <c r="M42" s="7"/>
    </row>
    <row r="43" spans="1:13" ht="40.200000000000003" customHeight="1" x14ac:dyDescent="0.25">
      <c r="A43" s="11">
        <v>9</v>
      </c>
      <c r="B43" s="12" t="s">
        <v>548</v>
      </c>
      <c r="C43" s="12" t="str">
        <v>Chicken Sweet And Sour</v>
      </c>
      <c r="D43" s="13" t="str">
        <v>Fried Chicken With Pineapple Slices - Colored Pepper - Onion - Sweet And Sour Sauce With Two Side Dishes (Rice - Fries - Sauteed Vegetables - Mashed Potatoes)</v>
      </c>
      <c r="E43" s="13" t="s">
        <v>555</v>
      </c>
      <c r="F43" s="24">
        <f t="shared" si="11"/>
        <v>811.10400000000004</v>
      </c>
      <c r="G43" s="2">
        <f t="shared" si="2"/>
        <v>231.74400000000003</v>
      </c>
      <c r="H43" s="15">
        <f t="shared" si="23"/>
        <v>579.36</v>
      </c>
      <c r="I43" s="2">
        <f t="shared" si="21"/>
        <v>171.35999999999999</v>
      </c>
      <c r="J43" s="3">
        <v>408</v>
      </c>
      <c r="K43" s="3" t="s">
        <v>340</v>
      </c>
      <c r="L43" s="3" t="s">
        <v>149</v>
      </c>
      <c r="M43" s="7"/>
    </row>
    <row r="44" spans="1:13" ht="40.200000000000003" customHeight="1" x14ac:dyDescent="0.25">
      <c r="A44" s="10">
        <v>6</v>
      </c>
      <c r="B44" s="10" t="s">
        <v>13</v>
      </c>
      <c r="C44" s="10" t="str">
        <v>Beef Main Course</v>
      </c>
      <c r="D44" s="17" t="str">
        <v>Ingredients</v>
      </c>
      <c r="E44" s="17" t="s">
        <v>103</v>
      </c>
      <c r="F44" s="14" t="s">
        <v>104</v>
      </c>
      <c r="G44" s="14" t="s">
        <v>104</v>
      </c>
      <c r="H44" s="14" t="s">
        <v>104</v>
      </c>
      <c r="I44" s="1" t="s">
        <v>104</v>
      </c>
      <c r="J44" s="1" t="s">
        <v>104</v>
      </c>
      <c r="K44" s="1" t="s">
        <v>102</v>
      </c>
      <c r="L44" s="1" t="s">
        <v>143</v>
      </c>
      <c r="M44" s="5">
        <v>8</v>
      </c>
    </row>
    <row r="45" spans="1:13" ht="40.200000000000003" customHeight="1" x14ac:dyDescent="0.25">
      <c r="A45" s="11">
        <v>1</v>
      </c>
      <c r="B45" s="11" t="s">
        <v>114</v>
      </c>
      <c r="C45" s="11" t="str">
        <v>Mix Grill</v>
      </c>
      <c r="D45" s="16" t="str">
        <v xml:space="preserve">Kebab - Kofta - Chicken Shish Tawook - Rice </v>
      </c>
      <c r="E45" s="16" t="s">
        <v>655</v>
      </c>
      <c r="F45" s="24">
        <f t="shared" ref="F45" si="24">+G45+H45</f>
        <v>954.24</v>
      </c>
      <c r="G45" s="2">
        <f t="shared" ref="G45" si="25">+H45*40%</f>
        <v>272.64000000000004</v>
      </c>
      <c r="H45" s="15">
        <f t="shared" ref="H45" si="26">+I45+J45</f>
        <v>681.6</v>
      </c>
      <c r="I45" s="2">
        <f>+J45*42%</f>
        <v>201.6</v>
      </c>
      <c r="J45" s="2">
        <v>480</v>
      </c>
      <c r="K45" s="2" t="s">
        <v>332</v>
      </c>
      <c r="L45" s="2" t="s">
        <v>141</v>
      </c>
      <c r="M45" s="6"/>
    </row>
    <row r="46" spans="1:13" ht="40.200000000000003" customHeight="1" x14ac:dyDescent="0.25">
      <c r="A46" s="12">
        <v>2</v>
      </c>
      <c r="B46" s="12" t="s">
        <v>654</v>
      </c>
      <c r="C46" s="12" t="str">
        <v xml:space="preserve">Kofta </v>
      </c>
      <c r="D46" s="13" t="str">
        <v>Grilled Kofta With Two Side Dishes (Rice - Fries - Sauteed Vegetables - Mashed Potatoes)</v>
      </c>
      <c r="E46" s="13" t="s">
        <v>659</v>
      </c>
      <c r="F46" s="24">
        <f t="shared" si="11"/>
        <v>844.9</v>
      </c>
      <c r="G46" s="2">
        <f t="shared" si="2"/>
        <v>241.4</v>
      </c>
      <c r="H46" s="15">
        <f t="shared" ref="H46:H49" si="27">+I46+J46</f>
        <v>603.5</v>
      </c>
      <c r="I46" s="2">
        <f t="shared" ref="I46:I49" si="28">+J46*42%</f>
        <v>178.5</v>
      </c>
      <c r="J46" s="3">
        <v>425</v>
      </c>
      <c r="K46" s="3" t="s">
        <v>658</v>
      </c>
      <c r="L46" s="3" t="s">
        <v>656</v>
      </c>
      <c r="M46" s="7"/>
    </row>
    <row r="47" spans="1:13" ht="40.200000000000003" customHeight="1" x14ac:dyDescent="0.25">
      <c r="A47" s="12">
        <v>3</v>
      </c>
      <c r="B47" s="12" t="s">
        <v>14</v>
      </c>
      <c r="C47" s="12" t="str">
        <v>Grilled Beef Fillet</v>
      </c>
      <c r="D47" s="13" t="str">
        <v>Grilled Beef Fillet With Two Side Dishes (Rice - Fries - Sauteed Vegetables - Mashed Potatoes)</v>
      </c>
      <c r="E47" s="13" t="s">
        <v>557</v>
      </c>
      <c r="F47" s="24">
        <f t="shared" ref="F47:F48" si="29">+G47+H47</f>
        <v>1212.68</v>
      </c>
      <c r="G47" s="2">
        <f t="shared" ref="G47:G48" si="30">+H47*40%</f>
        <v>346.48</v>
      </c>
      <c r="H47" s="15">
        <f>+I47+J47</f>
        <v>866.2</v>
      </c>
      <c r="I47" s="2">
        <f>+J47*42%</f>
        <v>256.2</v>
      </c>
      <c r="J47" s="3">
        <v>610</v>
      </c>
      <c r="K47" s="3" t="s">
        <v>335</v>
      </c>
      <c r="L47" s="3" t="s">
        <v>151</v>
      </c>
      <c r="M47" s="7"/>
    </row>
    <row r="48" spans="1:13" ht="40.200000000000003" customHeight="1" x14ac:dyDescent="0.25">
      <c r="A48" s="12">
        <v>4</v>
      </c>
      <c r="B48" s="12" t="s">
        <v>556</v>
      </c>
      <c r="C48" s="12" t="str">
        <v>Beef Rib Eye</v>
      </c>
      <c r="D48" s="13" t="str">
        <v>Beef Rib Eye With Two Side Dishes (Rice - Fries - Sauteed Vegetables - Mashed Potatoes)</v>
      </c>
      <c r="E48" s="13" t="s">
        <v>558</v>
      </c>
      <c r="F48" s="24">
        <f t="shared" si="29"/>
        <v>1351.84</v>
      </c>
      <c r="G48" s="2">
        <f t="shared" si="30"/>
        <v>386.24</v>
      </c>
      <c r="H48" s="15">
        <f>+I48+J48</f>
        <v>965.59999999999991</v>
      </c>
      <c r="I48" s="2">
        <f t="shared" ref="I48" si="31">+J48*42%</f>
        <v>285.59999999999997</v>
      </c>
      <c r="J48" s="3">
        <v>680</v>
      </c>
      <c r="K48" s="3" t="s">
        <v>336</v>
      </c>
      <c r="L48" s="3" t="s">
        <v>152</v>
      </c>
      <c r="M48" s="7"/>
    </row>
    <row r="49" spans="1:13" ht="40.200000000000003" customHeight="1" x14ac:dyDescent="0.25">
      <c r="A49" s="12">
        <v>4</v>
      </c>
      <c r="B49" s="12" t="s">
        <v>15</v>
      </c>
      <c r="C49" s="12" t="str">
        <v>Beef Stroganoff</v>
      </c>
      <c r="D49" s="13" t="str">
        <v>Beef Stroganoff With Two Side Dishes (Rice - Fries - Sauteed Vegetables - Mashed Potatoes)</v>
      </c>
      <c r="E49" s="13" t="s">
        <v>559</v>
      </c>
      <c r="F49" s="24">
        <f t="shared" si="11"/>
        <v>890.62400000000002</v>
      </c>
      <c r="G49" s="2">
        <f t="shared" si="2"/>
        <v>254.464</v>
      </c>
      <c r="H49" s="15">
        <f t="shared" si="27"/>
        <v>636.16</v>
      </c>
      <c r="I49" s="2">
        <f t="shared" si="28"/>
        <v>188.16</v>
      </c>
      <c r="J49" s="3">
        <v>448</v>
      </c>
      <c r="K49" s="3" t="s">
        <v>441</v>
      </c>
      <c r="L49" s="3" t="s">
        <v>153</v>
      </c>
      <c r="M49" s="7"/>
    </row>
    <row r="50" spans="1:13" ht="40.200000000000003" customHeight="1" x14ac:dyDescent="0.25">
      <c r="A50" s="10">
        <v>7</v>
      </c>
      <c r="B50" s="10" t="s">
        <v>16</v>
      </c>
      <c r="C50" s="10" t="str">
        <v>Pasta</v>
      </c>
      <c r="D50" s="17" t="str">
        <v>Ingredients</v>
      </c>
      <c r="E50" s="17" t="s">
        <v>103</v>
      </c>
      <c r="F50" s="14" t="s">
        <v>104</v>
      </c>
      <c r="G50" s="14" t="s">
        <v>104</v>
      </c>
      <c r="H50" s="14" t="s">
        <v>104</v>
      </c>
      <c r="I50" s="1" t="s">
        <v>104</v>
      </c>
      <c r="J50" s="1" t="s">
        <v>104</v>
      </c>
      <c r="K50" s="1" t="s">
        <v>102</v>
      </c>
      <c r="L50" s="1" t="s">
        <v>158</v>
      </c>
      <c r="M50" s="5">
        <v>10</v>
      </c>
    </row>
    <row r="51" spans="1:13" ht="40.200000000000003" hidden="1" customHeight="1" x14ac:dyDescent="0.25">
      <c r="A51" s="11"/>
      <c r="B51" s="11"/>
      <c r="C51" s="11" t="str">
        <v/>
      </c>
      <c r="D51" s="16" t="str">
        <v/>
      </c>
      <c r="E51" s="16"/>
      <c r="F51" s="24">
        <f t="shared" si="11"/>
        <v>0</v>
      </c>
      <c r="G51" s="2">
        <f t="shared" si="2"/>
        <v>0</v>
      </c>
      <c r="H51" s="15"/>
      <c r="I51" s="2">
        <f>+J51*30%</f>
        <v>39</v>
      </c>
      <c r="J51" s="2">
        <v>130</v>
      </c>
      <c r="K51" s="2" t="s">
        <v>450</v>
      </c>
      <c r="L51" s="2" t="s">
        <v>154</v>
      </c>
      <c r="M51" s="6"/>
    </row>
    <row r="52" spans="1:13" ht="40.200000000000003" customHeight="1" x14ac:dyDescent="0.25">
      <c r="A52" s="11">
        <v>1</v>
      </c>
      <c r="B52" s="11" t="s">
        <v>116</v>
      </c>
      <c r="C52" s="11" t="str">
        <v>Spaghetti Bolognese</v>
      </c>
      <c r="D52" s="16" t="str">
        <v>Spaghetti Pasta - Minced Meat - Bolognese Sauce</v>
      </c>
      <c r="E52" s="16" t="s">
        <v>563</v>
      </c>
      <c r="F52" s="24">
        <f t="shared" si="11"/>
        <v>330.75</v>
      </c>
      <c r="G52" s="2">
        <f t="shared" si="2"/>
        <v>94.5</v>
      </c>
      <c r="H52" s="15">
        <f t="shared" ref="H52:H60" si="32">+I52+J52</f>
        <v>236.25</v>
      </c>
      <c r="I52" s="2">
        <f>+J52*35%</f>
        <v>61.249999999999993</v>
      </c>
      <c r="J52" s="2">
        <v>175</v>
      </c>
      <c r="K52" s="2" t="s">
        <v>341</v>
      </c>
      <c r="L52" s="2" t="s">
        <v>155</v>
      </c>
      <c r="M52" s="6"/>
    </row>
    <row r="53" spans="1:13" ht="40.200000000000003" customHeight="1" x14ac:dyDescent="0.25">
      <c r="A53" s="11">
        <v>2</v>
      </c>
      <c r="B53" s="11" t="s">
        <v>560</v>
      </c>
      <c r="C53" s="11" t="str">
        <v>Arrabbiata Pasta</v>
      </c>
      <c r="D53" s="16" t="str">
        <v>Pasta - Mushroom - Olives - Olive Oil - Onion - Basil - Tomato Sauce - Parmesan - Cherry Tomato</v>
      </c>
      <c r="E53" s="16" t="s">
        <v>564</v>
      </c>
      <c r="F53" s="24">
        <f t="shared" si="11"/>
        <v>302.39999999999998</v>
      </c>
      <c r="G53" s="2">
        <f t="shared" si="2"/>
        <v>86.4</v>
      </c>
      <c r="H53" s="15">
        <f t="shared" si="32"/>
        <v>216</v>
      </c>
      <c r="I53" s="2">
        <f t="shared" ref="I53:I60" si="33">+J53*35%</f>
        <v>56</v>
      </c>
      <c r="J53" s="2">
        <v>160</v>
      </c>
      <c r="K53" s="2" t="s">
        <v>342</v>
      </c>
      <c r="L53" s="2" t="s">
        <v>156</v>
      </c>
      <c r="M53" s="6"/>
    </row>
    <row r="54" spans="1:13" ht="40.200000000000003" customHeight="1" x14ac:dyDescent="0.25">
      <c r="A54" s="11">
        <v>3</v>
      </c>
      <c r="B54" s="11" t="s">
        <v>561</v>
      </c>
      <c r="C54" s="11" t="str">
        <v>Chicken Bbq Pasta</v>
      </c>
      <c r="D54" s="16" t="str">
        <v xml:space="preserve"> Pasta - Grilled Chicken - Colored Pepper - Tomato Sauce - Parmesan</v>
      </c>
      <c r="E54" s="16" t="s">
        <v>565</v>
      </c>
      <c r="F54" s="24">
        <f t="shared" si="11"/>
        <v>349.65</v>
      </c>
      <c r="G54" s="2">
        <f t="shared" si="2"/>
        <v>99.9</v>
      </c>
      <c r="H54" s="15">
        <f t="shared" si="32"/>
        <v>249.75</v>
      </c>
      <c r="I54" s="2">
        <f t="shared" si="33"/>
        <v>64.75</v>
      </c>
      <c r="J54" s="2">
        <v>185</v>
      </c>
      <c r="K54" s="2" t="s">
        <v>343</v>
      </c>
      <c r="L54" s="2" t="s">
        <v>157</v>
      </c>
      <c r="M54" s="6"/>
    </row>
    <row r="55" spans="1:13" ht="40.200000000000003" hidden="1" customHeight="1" x14ac:dyDescent="0.25">
      <c r="A55" s="11">
        <v>4</v>
      </c>
      <c r="B55" s="11"/>
      <c r="C55" s="11" t="str">
        <v/>
      </c>
      <c r="D55" s="16" t="str">
        <v/>
      </c>
      <c r="E55" s="16"/>
      <c r="F55" s="24">
        <f t="shared" si="11"/>
        <v>0</v>
      </c>
      <c r="G55" s="2">
        <f t="shared" si="2"/>
        <v>0</v>
      </c>
      <c r="H55" s="15"/>
      <c r="I55" s="2">
        <f t="shared" si="33"/>
        <v>124.285</v>
      </c>
      <c r="J55" s="2">
        <v>355.1</v>
      </c>
      <c r="K55" s="2" t="s">
        <v>491</v>
      </c>
      <c r="L55" s="2" t="s">
        <v>490</v>
      </c>
      <c r="M55" s="6"/>
    </row>
    <row r="56" spans="1:13" ht="40.200000000000003" customHeight="1" x14ac:dyDescent="0.25">
      <c r="A56" s="11">
        <v>4</v>
      </c>
      <c r="B56" s="11" t="s">
        <v>17</v>
      </c>
      <c r="C56" s="11" t="str">
        <v>Four Cheese Pasta</v>
      </c>
      <c r="D56" s="16" t="str">
        <v>Pasta - White Sauce - Cheddar - Mozzarella - Parmesan</v>
      </c>
      <c r="E56" s="16" t="s">
        <v>566</v>
      </c>
      <c r="F56" s="24">
        <f t="shared" si="11"/>
        <v>330.75</v>
      </c>
      <c r="G56" s="2">
        <f t="shared" si="2"/>
        <v>94.5</v>
      </c>
      <c r="H56" s="15">
        <f t="shared" si="32"/>
        <v>236.25</v>
      </c>
      <c r="I56" s="2">
        <f t="shared" si="33"/>
        <v>61.249999999999993</v>
      </c>
      <c r="J56" s="2">
        <v>175</v>
      </c>
      <c r="K56" s="2" t="s">
        <v>348</v>
      </c>
      <c r="L56" s="2" t="s">
        <v>159</v>
      </c>
      <c r="M56" s="6"/>
    </row>
    <row r="57" spans="1:13" ht="40.200000000000003" customHeight="1" x14ac:dyDescent="0.25">
      <c r="A57" s="11">
        <v>5</v>
      </c>
      <c r="B57" s="11" t="s">
        <v>18</v>
      </c>
      <c r="C57" s="11" t="str">
        <v>Chicken Alfredo Pasta</v>
      </c>
      <c r="D57" s="16" t="str">
        <v>Pasta - Grilled Chicken - Mushroom - White Sauce - Parmesan</v>
      </c>
      <c r="E57" s="16" t="s">
        <v>502</v>
      </c>
      <c r="F57" s="24">
        <f t="shared" si="11"/>
        <v>355.32000000000005</v>
      </c>
      <c r="G57" s="2">
        <f t="shared" si="2"/>
        <v>101.52000000000001</v>
      </c>
      <c r="H57" s="15">
        <f t="shared" si="32"/>
        <v>253.8</v>
      </c>
      <c r="I57" s="2">
        <f t="shared" si="33"/>
        <v>65.8</v>
      </c>
      <c r="J57" s="2">
        <v>188</v>
      </c>
      <c r="K57" s="2" t="s">
        <v>344</v>
      </c>
      <c r="L57" s="2" t="s">
        <v>160</v>
      </c>
      <c r="M57" s="6"/>
    </row>
    <row r="58" spans="1:13" ht="40.200000000000003" customHeight="1" x14ac:dyDescent="0.25">
      <c r="A58" s="11">
        <v>6</v>
      </c>
      <c r="B58" s="11" t="s">
        <v>19</v>
      </c>
      <c r="C58" s="11" t="str">
        <v>Chicken Pesto Pasta</v>
      </c>
      <c r="D58" s="16" t="str">
        <v xml:space="preserve"> Pasta - Grilled Chicken - Mushroom - Pesto Sauce - Parmesan</v>
      </c>
      <c r="E58" s="16" t="s">
        <v>567</v>
      </c>
      <c r="F58" s="24">
        <f t="shared" si="11"/>
        <v>343.98</v>
      </c>
      <c r="G58" s="2">
        <f t="shared" si="2"/>
        <v>98.28</v>
      </c>
      <c r="H58" s="15">
        <f t="shared" si="32"/>
        <v>245.7</v>
      </c>
      <c r="I58" s="2">
        <f t="shared" si="33"/>
        <v>63.699999999999996</v>
      </c>
      <c r="J58" s="2">
        <v>182</v>
      </c>
      <c r="K58" s="2" t="s">
        <v>345</v>
      </c>
      <c r="L58" s="2" t="s">
        <v>161</v>
      </c>
      <c r="M58" s="6"/>
    </row>
    <row r="59" spans="1:13" ht="40.200000000000003" hidden="1" customHeight="1" x14ac:dyDescent="0.25">
      <c r="A59" s="11">
        <v>8</v>
      </c>
      <c r="B59" s="11"/>
      <c r="C59" s="11" t="str">
        <v/>
      </c>
      <c r="D59" s="16" t="str">
        <v/>
      </c>
      <c r="E59" s="16"/>
      <c r="F59" s="24">
        <f t="shared" si="11"/>
        <v>0</v>
      </c>
      <c r="G59" s="2">
        <f t="shared" si="2"/>
        <v>0</v>
      </c>
      <c r="H59" s="15"/>
      <c r="I59" s="2">
        <f t="shared" si="33"/>
        <v>102.02499999999999</v>
      </c>
      <c r="J59" s="2">
        <v>291.5</v>
      </c>
      <c r="K59" s="2" t="s">
        <v>346</v>
      </c>
      <c r="L59" s="2" t="s">
        <v>162</v>
      </c>
      <c r="M59" s="6"/>
    </row>
    <row r="60" spans="1:13" ht="40.200000000000003" customHeight="1" x14ac:dyDescent="0.25">
      <c r="A60" s="11">
        <v>7</v>
      </c>
      <c r="B60" s="11" t="s">
        <v>562</v>
      </c>
      <c r="C60" s="11" t="str">
        <v>Seafood Pasta</v>
      </c>
      <c r="D60" s="16" t="str">
        <v>Pasta - Shrimp - Calamari - Sticks - Colored Pepper - White Sauce - Parmesan</v>
      </c>
      <c r="E60" s="16" t="s">
        <v>568</v>
      </c>
      <c r="F60" s="24">
        <f t="shared" si="11"/>
        <v>558.495</v>
      </c>
      <c r="G60" s="2">
        <f t="shared" si="2"/>
        <v>159.57000000000002</v>
      </c>
      <c r="H60" s="15">
        <f t="shared" si="32"/>
        <v>398.92500000000001</v>
      </c>
      <c r="I60" s="2">
        <f t="shared" si="33"/>
        <v>103.425</v>
      </c>
      <c r="J60" s="2">
        <v>295.5</v>
      </c>
      <c r="K60" s="2" t="s">
        <v>347</v>
      </c>
      <c r="L60" s="2" t="s">
        <v>163</v>
      </c>
      <c r="M60" s="6"/>
    </row>
    <row r="61" spans="1:13" ht="40.200000000000003" customHeight="1" x14ac:dyDescent="0.25">
      <c r="A61" s="10">
        <v>8</v>
      </c>
      <c r="B61" s="10" t="s">
        <v>20</v>
      </c>
      <c r="C61" s="10" t="str">
        <v>Pizza</v>
      </c>
      <c r="D61" s="17" t="str">
        <v>Ingredients</v>
      </c>
      <c r="E61" s="17" t="s">
        <v>103</v>
      </c>
      <c r="F61" s="14" t="s">
        <v>104</v>
      </c>
      <c r="G61" s="14" t="s">
        <v>104</v>
      </c>
      <c r="H61" s="14" t="s">
        <v>104</v>
      </c>
      <c r="I61" s="1" t="s">
        <v>104</v>
      </c>
      <c r="J61" s="1" t="s">
        <v>104</v>
      </c>
      <c r="K61" s="1" t="s">
        <v>102</v>
      </c>
      <c r="L61" s="1" t="s">
        <v>164</v>
      </c>
      <c r="M61" s="5">
        <v>11</v>
      </c>
    </row>
    <row r="62" spans="1:13" ht="40.200000000000003" customHeight="1" x14ac:dyDescent="0.25">
      <c r="A62" s="11">
        <v>1</v>
      </c>
      <c r="B62" s="11" t="s">
        <v>569</v>
      </c>
      <c r="C62" s="11" t="str">
        <v>Margherita Pizza</v>
      </c>
      <c r="D62" s="16" t="str">
        <v>Mozzarella - Parmesan</v>
      </c>
      <c r="E62" s="16" t="s">
        <v>451</v>
      </c>
      <c r="F62" s="24">
        <f t="shared" si="11"/>
        <v>305.04599999999999</v>
      </c>
      <c r="G62" s="2">
        <f t="shared" si="2"/>
        <v>87.156000000000006</v>
      </c>
      <c r="H62" s="15">
        <f t="shared" ref="H62:H69" si="34">+I62+J62</f>
        <v>217.89</v>
      </c>
      <c r="I62" s="2">
        <f>+J62*35%</f>
        <v>56.489999999999995</v>
      </c>
      <c r="J62" s="2">
        <v>161.4</v>
      </c>
      <c r="K62" s="2" t="s">
        <v>350</v>
      </c>
      <c r="L62" s="2" t="s">
        <v>165</v>
      </c>
      <c r="M62" s="6"/>
    </row>
    <row r="63" spans="1:13" ht="40.200000000000003" customHeight="1" x14ac:dyDescent="0.25">
      <c r="A63" s="11">
        <v>2</v>
      </c>
      <c r="B63" s="11" t="s">
        <v>570</v>
      </c>
      <c r="C63" s="11" t="str">
        <v>Vegetarian Pizza</v>
      </c>
      <c r="D63" s="16" t="str">
        <v xml:space="preserve"> Mozzarella - Colored Pepper - Onion - Mushroom - Broccoli - Parmesan</v>
      </c>
      <c r="E63" s="16" t="s">
        <v>571</v>
      </c>
      <c r="F63" s="24">
        <f t="shared" si="11"/>
        <v>305.04599999999999</v>
      </c>
      <c r="G63" s="2">
        <f t="shared" si="2"/>
        <v>87.156000000000006</v>
      </c>
      <c r="H63" s="15">
        <f t="shared" si="34"/>
        <v>217.89</v>
      </c>
      <c r="I63" s="2">
        <f t="shared" ref="I63:I69" si="35">+J63*35%</f>
        <v>56.489999999999995</v>
      </c>
      <c r="J63" s="2">
        <v>161.4</v>
      </c>
      <c r="K63" s="2" t="s">
        <v>349</v>
      </c>
      <c r="L63" s="2" t="s">
        <v>166</v>
      </c>
      <c r="M63" s="6"/>
    </row>
    <row r="64" spans="1:13" ht="40.200000000000003" customHeight="1" x14ac:dyDescent="0.25">
      <c r="A64" s="11">
        <v>3</v>
      </c>
      <c r="B64" s="11" t="s">
        <v>21</v>
      </c>
      <c r="C64" s="11" t="str">
        <v>Salami Pizza</v>
      </c>
      <c r="D64" s="16" t="str">
        <v>Mozzarella - Salami - Black Olives - Parmesan</v>
      </c>
      <c r="E64" s="16" t="s">
        <v>452</v>
      </c>
      <c r="F64" s="24">
        <f t="shared" si="11"/>
        <v>339.06600000000003</v>
      </c>
      <c r="G64" s="2">
        <f t="shared" si="2"/>
        <v>96.876000000000005</v>
      </c>
      <c r="H64" s="15">
        <f t="shared" si="34"/>
        <v>242.19</v>
      </c>
      <c r="I64" s="2">
        <f t="shared" si="35"/>
        <v>62.79</v>
      </c>
      <c r="J64" s="2">
        <v>179.4</v>
      </c>
      <c r="K64" s="2" t="s">
        <v>351</v>
      </c>
      <c r="L64" s="2" t="s">
        <v>167</v>
      </c>
      <c r="M64" s="6"/>
    </row>
    <row r="65" spans="1:13" ht="40.200000000000003" customHeight="1" x14ac:dyDescent="0.25">
      <c r="A65" s="11">
        <v>4</v>
      </c>
      <c r="B65" s="11" t="s">
        <v>22</v>
      </c>
      <c r="C65" s="11" t="str">
        <v>Chicken Bbq Pizza</v>
      </c>
      <c r="D65" s="16" t="str">
        <v xml:space="preserve"> Mozzarella - Grilled Chicken - Colored Pepper - Mushroom - Bbq Sauce</v>
      </c>
      <c r="E65" s="16" t="s">
        <v>572</v>
      </c>
      <c r="F65" s="24">
        <f t="shared" si="11"/>
        <v>339.06600000000003</v>
      </c>
      <c r="G65" s="2">
        <f t="shared" si="2"/>
        <v>96.876000000000005</v>
      </c>
      <c r="H65" s="15">
        <f t="shared" si="34"/>
        <v>242.19</v>
      </c>
      <c r="I65" s="2">
        <f t="shared" si="35"/>
        <v>62.79</v>
      </c>
      <c r="J65" s="2">
        <v>179.4</v>
      </c>
      <c r="K65" s="2" t="s">
        <v>352</v>
      </c>
      <c r="L65" s="2" t="s">
        <v>157</v>
      </c>
      <c r="M65" s="6"/>
    </row>
    <row r="66" spans="1:13" ht="40.200000000000003" customHeight="1" x14ac:dyDescent="0.25">
      <c r="A66" s="11">
        <v>5</v>
      </c>
      <c r="B66" s="11" t="s">
        <v>23</v>
      </c>
      <c r="C66" s="11" t="str">
        <v>Four Cheese Pizza</v>
      </c>
      <c r="D66" s="16" t="str">
        <v>Mozzarella - Cheddar - Parmesan - Roquefort</v>
      </c>
      <c r="E66" s="16" t="s">
        <v>573</v>
      </c>
      <c r="F66" s="24">
        <f t="shared" si="11"/>
        <v>339.06600000000003</v>
      </c>
      <c r="G66" s="2">
        <f t="shared" si="2"/>
        <v>96.876000000000005</v>
      </c>
      <c r="H66" s="15">
        <f t="shared" si="34"/>
        <v>242.19</v>
      </c>
      <c r="I66" s="2">
        <f t="shared" si="35"/>
        <v>62.79</v>
      </c>
      <c r="J66" s="2">
        <v>179.4</v>
      </c>
      <c r="K66" s="2" t="s">
        <v>353</v>
      </c>
      <c r="L66" s="2" t="s">
        <v>159</v>
      </c>
      <c r="M66" s="6"/>
    </row>
    <row r="67" spans="1:13" ht="40.200000000000003" customHeight="1" x14ac:dyDescent="0.25">
      <c r="A67" s="11">
        <v>6</v>
      </c>
      <c r="B67" s="11" t="s">
        <v>24</v>
      </c>
      <c r="C67" s="11" t="str">
        <v>Tuna Pizza</v>
      </c>
      <c r="D67" s="16" t="str">
        <v xml:space="preserve"> Mozzarella - Tuna - Sweet Corn</v>
      </c>
      <c r="E67" s="16" t="s">
        <v>574</v>
      </c>
      <c r="F67" s="24">
        <f t="shared" si="11"/>
        <v>423.73799999999994</v>
      </c>
      <c r="G67" s="2">
        <f t="shared" si="2"/>
        <v>121.06799999999998</v>
      </c>
      <c r="H67" s="15">
        <f t="shared" si="34"/>
        <v>302.66999999999996</v>
      </c>
      <c r="I67" s="2">
        <f t="shared" si="35"/>
        <v>78.469999999999985</v>
      </c>
      <c r="J67" s="2">
        <v>224.2</v>
      </c>
      <c r="K67" s="2" t="s">
        <v>354</v>
      </c>
      <c r="L67" s="2" t="s">
        <v>168</v>
      </c>
      <c r="M67" s="6"/>
    </row>
    <row r="68" spans="1:13" ht="40.200000000000003" hidden="1" customHeight="1" x14ac:dyDescent="0.25">
      <c r="A68" s="11">
        <v>7</v>
      </c>
      <c r="B68" s="11"/>
      <c r="C68" s="11" t="str">
        <v/>
      </c>
      <c r="D68" s="16" t="str">
        <v/>
      </c>
      <c r="E68" s="16"/>
      <c r="F68" s="24">
        <f t="shared" si="11"/>
        <v>0</v>
      </c>
      <c r="G68" s="2">
        <f t="shared" si="2"/>
        <v>0</v>
      </c>
      <c r="H68" s="15"/>
      <c r="I68" s="2">
        <f t="shared" si="35"/>
        <v>97.789999999999992</v>
      </c>
      <c r="J68" s="2">
        <v>279.39999999999998</v>
      </c>
      <c r="K68" s="2" t="s">
        <v>355</v>
      </c>
      <c r="L68" s="2" t="s">
        <v>169</v>
      </c>
      <c r="M68" s="6"/>
    </row>
    <row r="69" spans="1:13" ht="40.200000000000003" customHeight="1" x14ac:dyDescent="0.25">
      <c r="A69" s="11">
        <v>7</v>
      </c>
      <c r="B69" s="11" t="s">
        <v>25</v>
      </c>
      <c r="C69" s="11" t="str">
        <v>Four Seasons Pizza</v>
      </c>
      <c r="D69" s="16" t="str">
        <v xml:space="preserve"> Mozzarella - Grilled Chicken - Salami - Smoked Turkey - Colored Pepper - Mushroom - Parmesan</v>
      </c>
      <c r="E69" s="16" t="s">
        <v>575</v>
      </c>
      <c r="F69" s="24">
        <f t="shared" si="11"/>
        <v>546.96599999999989</v>
      </c>
      <c r="G69" s="2">
        <f t="shared" ref="G69:G92" si="36">+H69*40%</f>
        <v>156.27599999999998</v>
      </c>
      <c r="H69" s="15">
        <f t="shared" si="34"/>
        <v>390.68999999999994</v>
      </c>
      <c r="I69" s="2">
        <f t="shared" si="35"/>
        <v>101.28999999999999</v>
      </c>
      <c r="J69" s="2">
        <v>289.39999999999998</v>
      </c>
      <c r="K69" s="2" t="s">
        <v>356</v>
      </c>
      <c r="L69" s="2" t="s">
        <v>170</v>
      </c>
      <c r="M69" s="6"/>
    </row>
    <row r="70" spans="1:13" ht="40.200000000000003" customHeight="1" x14ac:dyDescent="0.25">
      <c r="A70" s="10">
        <v>9</v>
      </c>
      <c r="B70" s="10" t="s">
        <v>27</v>
      </c>
      <c r="C70" s="10" t="str">
        <v>Sandwich</v>
      </c>
      <c r="D70" s="17" t="str">
        <v>Ingredients</v>
      </c>
      <c r="E70" s="17" t="s">
        <v>103</v>
      </c>
      <c r="F70" s="14" t="s">
        <v>104</v>
      </c>
      <c r="G70" s="14" t="s">
        <v>104</v>
      </c>
      <c r="H70" s="14" t="s">
        <v>104</v>
      </c>
      <c r="I70" s="1" t="s">
        <v>104</v>
      </c>
      <c r="J70" s="1" t="s">
        <v>104</v>
      </c>
      <c r="K70" s="1" t="s">
        <v>102</v>
      </c>
      <c r="L70" s="1" t="s">
        <v>173</v>
      </c>
      <c r="M70" s="5">
        <v>13</v>
      </c>
    </row>
    <row r="71" spans="1:13" s="18" customFormat="1" ht="40.200000000000003" customHeight="1" x14ac:dyDescent="0.25">
      <c r="A71" s="12">
        <v>1</v>
      </c>
      <c r="B71" s="12" t="s">
        <v>174</v>
      </c>
      <c r="C71" s="12" t="str">
        <v>Shish Tawook Sandwich</v>
      </c>
      <c r="D71" s="13" t="str">
        <v xml:space="preserve"> Shish Tawook Sandwich - Fries</v>
      </c>
      <c r="E71" s="13" t="s">
        <v>576</v>
      </c>
      <c r="F71" s="24">
        <f t="shared" si="11"/>
        <v>250.25</v>
      </c>
      <c r="G71" s="2">
        <f t="shared" si="36"/>
        <v>71.5</v>
      </c>
      <c r="H71" s="15">
        <f t="shared" ref="H71:H77" si="37">+I71+J71</f>
        <v>178.75</v>
      </c>
      <c r="I71" s="2">
        <f>+J71*30%</f>
        <v>41.25</v>
      </c>
      <c r="J71" s="3">
        <v>137.5</v>
      </c>
      <c r="K71" s="3" t="s">
        <v>453</v>
      </c>
      <c r="L71" s="3" t="s">
        <v>177</v>
      </c>
      <c r="M71" s="7"/>
    </row>
    <row r="72" spans="1:13" s="18" customFormat="1" ht="40.200000000000003" hidden="1" customHeight="1" x14ac:dyDescent="0.25">
      <c r="A72" s="12"/>
      <c r="B72" s="12"/>
      <c r="C72" s="12" t="str">
        <v/>
      </c>
      <c r="D72" s="13" t="str">
        <v/>
      </c>
      <c r="E72" s="13"/>
      <c r="F72" s="24">
        <f t="shared" si="11"/>
        <v>0</v>
      </c>
      <c r="G72" s="2">
        <f t="shared" si="36"/>
        <v>0</v>
      </c>
      <c r="H72" s="15"/>
      <c r="I72" s="2">
        <f t="shared" ref="I72:I77" si="38">+J72*30%</f>
        <v>45</v>
      </c>
      <c r="J72" s="3">
        <v>150</v>
      </c>
      <c r="K72" s="3" t="s">
        <v>359</v>
      </c>
      <c r="L72" s="3" t="s">
        <v>175</v>
      </c>
      <c r="M72" s="7"/>
    </row>
    <row r="73" spans="1:13" ht="40.200000000000003" hidden="1" customHeight="1" x14ac:dyDescent="0.25">
      <c r="A73" s="11"/>
      <c r="B73" s="11"/>
      <c r="C73" s="11" t="str">
        <v/>
      </c>
      <c r="D73" s="16" t="str">
        <v/>
      </c>
      <c r="E73" s="16"/>
      <c r="F73" s="24">
        <f t="shared" si="11"/>
        <v>0</v>
      </c>
      <c r="G73" s="2">
        <f t="shared" si="36"/>
        <v>0</v>
      </c>
      <c r="H73" s="15"/>
      <c r="I73" s="2">
        <f t="shared" si="38"/>
        <v>78.149999999999991</v>
      </c>
      <c r="J73" s="2">
        <v>260.5</v>
      </c>
      <c r="K73" s="2" t="s">
        <v>358</v>
      </c>
      <c r="L73" s="2" t="s">
        <v>172</v>
      </c>
      <c r="M73" s="6"/>
    </row>
    <row r="74" spans="1:13" ht="40.200000000000003" customHeight="1" x14ac:dyDescent="0.25">
      <c r="A74" s="11">
        <v>2</v>
      </c>
      <c r="B74" s="11" t="s">
        <v>26</v>
      </c>
      <c r="C74" s="11" t="str">
        <v>Classic Burger</v>
      </c>
      <c r="D74" s="16" t="str">
        <v>Burger - Mayonnaise - Mustard - Ketchup - Tomato - Cheddar - Lettuce - Onion - Fries - Bread</v>
      </c>
      <c r="E74" s="16" t="s">
        <v>577</v>
      </c>
      <c r="F74" s="24">
        <f t="shared" si="11"/>
        <v>313.95</v>
      </c>
      <c r="G74" s="2">
        <f t="shared" si="36"/>
        <v>89.7</v>
      </c>
      <c r="H74" s="15">
        <f t="shared" si="37"/>
        <v>224.25</v>
      </c>
      <c r="I74" s="2">
        <f t="shared" si="38"/>
        <v>51.75</v>
      </c>
      <c r="J74" s="2">
        <v>172.5</v>
      </c>
      <c r="K74" s="2" t="s">
        <v>357</v>
      </c>
      <c r="L74" s="2" t="s">
        <v>171</v>
      </c>
      <c r="M74" s="6"/>
    </row>
    <row r="75" spans="1:13" ht="40.200000000000003" customHeight="1" x14ac:dyDescent="0.25">
      <c r="A75" s="11">
        <v>3</v>
      </c>
      <c r="B75" s="11" t="s">
        <v>657</v>
      </c>
      <c r="C75" s="11" t="str">
        <v>Cordon Bleu Sandwich</v>
      </c>
      <c r="D75" s="16" t="str">
        <v>Cordon Bleu With Mix Cheese - Mayonnaise - Lettuce -Sherry Tomato - Fries</v>
      </c>
      <c r="E75" s="16" t="s">
        <v>660</v>
      </c>
      <c r="F75" s="24">
        <f t="shared" si="11"/>
        <v>392.21</v>
      </c>
      <c r="G75" s="2">
        <f t="shared" si="36"/>
        <v>112.06</v>
      </c>
      <c r="H75" s="15">
        <f t="shared" si="37"/>
        <v>280.14999999999998</v>
      </c>
      <c r="I75" s="2">
        <f t="shared" si="38"/>
        <v>64.649999999999991</v>
      </c>
      <c r="J75" s="2">
        <v>215.5</v>
      </c>
      <c r="K75" s="2" t="s">
        <v>360</v>
      </c>
      <c r="L75" s="2" t="s">
        <v>176</v>
      </c>
      <c r="M75" s="6"/>
    </row>
    <row r="76" spans="1:13" ht="40.200000000000003" customHeight="1" x14ac:dyDescent="0.25">
      <c r="A76" s="11">
        <v>4</v>
      </c>
      <c r="B76" s="11" t="s">
        <v>28</v>
      </c>
      <c r="C76" s="11" t="str">
        <v>Chicken Fajita Sandwich</v>
      </c>
      <c r="D76" s="16" t="str">
        <v>Grilled Chicken - Colored Pepper - Onion - Mozzarella - Mayonnaise - Jalapeno - Bbq - Fries</v>
      </c>
      <c r="E76" s="16" t="s">
        <v>578</v>
      </c>
      <c r="F76" s="24">
        <f t="shared" si="11"/>
        <v>376.74</v>
      </c>
      <c r="G76" s="2">
        <f t="shared" si="36"/>
        <v>107.64000000000001</v>
      </c>
      <c r="H76" s="15">
        <f t="shared" si="37"/>
        <v>269.10000000000002</v>
      </c>
      <c r="I76" s="2">
        <f t="shared" si="38"/>
        <v>62.099999999999994</v>
      </c>
      <c r="J76" s="2">
        <v>207</v>
      </c>
      <c r="K76" s="2" t="s">
        <v>361</v>
      </c>
      <c r="L76" s="2" t="s">
        <v>178</v>
      </c>
      <c r="M76" s="6"/>
    </row>
    <row r="77" spans="1:13" ht="40.200000000000003" customHeight="1" x14ac:dyDescent="0.25">
      <c r="A77" s="11">
        <v>5</v>
      </c>
      <c r="B77" s="11" t="s">
        <v>29</v>
      </c>
      <c r="C77" s="11" t="str">
        <v>Beef Mushroom Sandwich</v>
      </c>
      <c r="D77" s="16" t="str">
        <v>Grilled Beef - Mushroom Sauce - Fries</v>
      </c>
      <c r="E77" s="16" t="s">
        <v>454</v>
      </c>
      <c r="F77" s="24">
        <f t="shared" si="11"/>
        <v>457.73</v>
      </c>
      <c r="G77" s="2">
        <f t="shared" si="36"/>
        <v>130.78</v>
      </c>
      <c r="H77" s="15">
        <f t="shared" si="37"/>
        <v>326.95</v>
      </c>
      <c r="I77" s="2">
        <f t="shared" si="38"/>
        <v>75.45</v>
      </c>
      <c r="J77" s="2">
        <v>251.5</v>
      </c>
      <c r="K77" s="2" t="s">
        <v>362</v>
      </c>
      <c r="L77" s="2" t="s">
        <v>179</v>
      </c>
      <c r="M77" s="6"/>
    </row>
    <row r="78" spans="1:13" ht="40.200000000000003" customHeight="1" x14ac:dyDescent="0.25">
      <c r="A78" s="10">
        <v>10</v>
      </c>
      <c r="B78" s="10" t="s">
        <v>30</v>
      </c>
      <c r="C78" s="10" t="str">
        <v>Food Extras</v>
      </c>
      <c r="D78" s="17" t="str">
        <v>Ingredients</v>
      </c>
      <c r="E78" s="17" t="s">
        <v>103</v>
      </c>
      <c r="F78" s="14" t="s">
        <v>104</v>
      </c>
      <c r="G78" s="14" t="s">
        <v>104</v>
      </c>
      <c r="H78" s="14" t="s">
        <v>104</v>
      </c>
      <c r="I78" s="1" t="s">
        <v>104</v>
      </c>
      <c r="J78" s="1" t="s">
        <v>104</v>
      </c>
      <c r="K78" s="1" t="s">
        <v>102</v>
      </c>
      <c r="L78" s="1" t="s">
        <v>180</v>
      </c>
      <c r="M78" s="5">
        <v>14</v>
      </c>
    </row>
    <row r="79" spans="1:13" ht="40.200000000000003" customHeight="1" x14ac:dyDescent="0.25">
      <c r="A79" s="11">
        <v>1</v>
      </c>
      <c r="B79" s="11" t="s">
        <v>31</v>
      </c>
      <c r="C79" s="11" t="str">
        <v>Extra Cheese</v>
      </c>
      <c r="D79" s="16" t="str">
        <v>Your Choice Of Food Extras</v>
      </c>
      <c r="E79" s="16" t="s">
        <v>455</v>
      </c>
      <c r="F79" s="24">
        <f t="shared" si="11"/>
        <v>82.992000000000004</v>
      </c>
      <c r="G79" s="2">
        <f t="shared" si="36"/>
        <v>23.712000000000003</v>
      </c>
      <c r="H79" s="15">
        <f t="shared" ref="H79:H81" si="39">+I79+J79</f>
        <v>59.28</v>
      </c>
      <c r="I79" s="2">
        <f>+J79*30%</f>
        <v>13.68</v>
      </c>
      <c r="J79" s="2">
        <v>45.6</v>
      </c>
      <c r="K79" s="2" t="s">
        <v>363</v>
      </c>
      <c r="L79" s="2" t="s">
        <v>181</v>
      </c>
      <c r="M79" s="6"/>
    </row>
    <row r="80" spans="1:13" ht="40.200000000000003" customHeight="1" x14ac:dyDescent="0.25">
      <c r="A80" s="11">
        <v>2</v>
      </c>
      <c r="B80" s="11" t="s">
        <v>34</v>
      </c>
      <c r="C80" s="11" t="str">
        <v>Extra Cheese Fries</v>
      </c>
      <c r="D80" s="16" t="str">
        <v>Your Choice Of Food Extras</v>
      </c>
      <c r="E80" s="16" t="s">
        <v>455</v>
      </c>
      <c r="F80" s="24">
        <f t="shared" si="11"/>
        <v>82.992000000000004</v>
      </c>
      <c r="G80" s="2">
        <f t="shared" si="36"/>
        <v>23.712000000000003</v>
      </c>
      <c r="H80" s="15">
        <f t="shared" ref="H80" si="40">+I80+J80</f>
        <v>59.28</v>
      </c>
      <c r="I80" s="2">
        <f t="shared" ref="I80:I82" si="41">+J80*30%</f>
        <v>13.68</v>
      </c>
      <c r="J80" s="2">
        <v>45.6</v>
      </c>
      <c r="K80" s="2" t="s">
        <v>363</v>
      </c>
      <c r="L80" s="2" t="s">
        <v>182</v>
      </c>
      <c r="M80" s="6"/>
    </row>
    <row r="81" spans="1:13" ht="40.200000000000003" customHeight="1" x14ac:dyDescent="0.25">
      <c r="A81" s="11">
        <v>3</v>
      </c>
      <c r="B81" s="11" t="s">
        <v>32</v>
      </c>
      <c r="C81" s="11" t="str">
        <v>Extra French Fries</v>
      </c>
      <c r="D81" s="16" t="str">
        <v>Your Choice Of Food Extras</v>
      </c>
      <c r="E81" s="16" t="s">
        <v>455</v>
      </c>
      <c r="F81" s="24">
        <f t="shared" si="11"/>
        <v>82.992000000000004</v>
      </c>
      <c r="G81" s="2">
        <f t="shared" si="36"/>
        <v>23.712000000000003</v>
      </c>
      <c r="H81" s="15">
        <f t="shared" si="39"/>
        <v>59.28</v>
      </c>
      <c r="I81" s="2">
        <f t="shared" si="41"/>
        <v>13.68</v>
      </c>
      <c r="J81" s="2">
        <v>45.6</v>
      </c>
      <c r="K81" s="2" t="s">
        <v>363</v>
      </c>
      <c r="L81" s="2" t="s">
        <v>183</v>
      </c>
      <c r="M81" s="6"/>
    </row>
    <row r="82" spans="1:13" ht="40.200000000000003" customHeight="1" x14ac:dyDescent="0.25">
      <c r="A82" s="11">
        <v>4</v>
      </c>
      <c r="B82" s="11" t="s">
        <v>33</v>
      </c>
      <c r="C82" s="11" t="str">
        <v>Extra Mushroom</v>
      </c>
      <c r="D82" s="16" t="str">
        <v>Your Choice Of Food Extras</v>
      </c>
      <c r="E82" s="16" t="s">
        <v>455</v>
      </c>
      <c r="F82" s="24">
        <f t="shared" ref="F82:F92" si="42">+G82+H82</f>
        <v>100.1</v>
      </c>
      <c r="G82" s="2">
        <f t="shared" si="36"/>
        <v>28.6</v>
      </c>
      <c r="H82" s="15">
        <f t="shared" ref="H82" si="43">+I82+J82</f>
        <v>71.5</v>
      </c>
      <c r="I82" s="2">
        <f t="shared" si="41"/>
        <v>16.5</v>
      </c>
      <c r="J82" s="2">
        <v>55</v>
      </c>
      <c r="K82" s="2" t="s">
        <v>363</v>
      </c>
      <c r="L82" s="2" t="s">
        <v>184</v>
      </c>
      <c r="M82" s="6"/>
    </row>
    <row r="83" spans="1:13" ht="40.200000000000003" hidden="1" customHeight="1" x14ac:dyDescent="0.25">
      <c r="A83" s="11"/>
      <c r="B83" s="11"/>
      <c r="C83" s="11" t="str">
        <v/>
      </c>
      <c r="D83" s="16" t="str">
        <v/>
      </c>
      <c r="E83" s="16"/>
      <c r="F83" s="24">
        <f t="shared" si="42"/>
        <v>0</v>
      </c>
      <c r="G83" s="2">
        <f t="shared" si="36"/>
        <v>0</v>
      </c>
      <c r="H83" s="15"/>
      <c r="I83" s="2">
        <f t="shared" ref="I83:I92" si="44">+J83*20%</f>
        <v>9.120000000000001</v>
      </c>
      <c r="J83" s="2">
        <v>45.6</v>
      </c>
      <c r="K83" s="2" t="s">
        <v>363</v>
      </c>
      <c r="L83" s="2" t="s">
        <v>185</v>
      </c>
      <c r="M83" s="6"/>
    </row>
    <row r="84" spans="1:13" ht="40.200000000000003" hidden="1" customHeight="1" x14ac:dyDescent="0.25">
      <c r="A84" s="11"/>
      <c r="B84" s="11"/>
      <c r="C84" s="11" t="str">
        <v/>
      </c>
      <c r="D84" s="16" t="str">
        <v/>
      </c>
      <c r="E84" s="16"/>
      <c r="F84" s="24">
        <f t="shared" si="42"/>
        <v>0</v>
      </c>
      <c r="G84" s="2">
        <f t="shared" si="36"/>
        <v>0</v>
      </c>
      <c r="H84" s="15"/>
      <c r="I84" s="2">
        <f t="shared" si="44"/>
        <v>9.120000000000001</v>
      </c>
      <c r="J84" s="2">
        <v>45.6</v>
      </c>
      <c r="K84" s="2" t="s">
        <v>363</v>
      </c>
      <c r="L84" s="2" t="s">
        <v>186</v>
      </c>
      <c r="M84" s="6"/>
    </row>
    <row r="85" spans="1:13" ht="40.200000000000003" hidden="1" customHeight="1" x14ac:dyDescent="0.25">
      <c r="A85" s="11"/>
      <c r="B85" s="11"/>
      <c r="C85" s="11" t="str">
        <v/>
      </c>
      <c r="D85" s="16" t="str">
        <v/>
      </c>
      <c r="E85" s="16"/>
      <c r="F85" s="24">
        <f t="shared" si="42"/>
        <v>0</v>
      </c>
      <c r="G85" s="2">
        <f t="shared" si="36"/>
        <v>0</v>
      </c>
      <c r="H85" s="15"/>
      <c r="I85" s="2">
        <f t="shared" si="44"/>
        <v>9.120000000000001</v>
      </c>
      <c r="J85" s="2">
        <v>45.6</v>
      </c>
      <c r="K85" s="2" t="s">
        <v>363</v>
      </c>
      <c r="L85" s="2" t="s">
        <v>187</v>
      </c>
      <c r="M85" s="6"/>
    </row>
    <row r="86" spans="1:13" ht="40.200000000000003" hidden="1" customHeight="1" x14ac:dyDescent="0.25">
      <c r="A86" s="11"/>
      <c r="B86" s="11"/>
      <c r="C86" s="11" t="str">
        <v/>
      </c>
      <c r="D86" s="16" t="str">
        <v/>
      </c>
      <c r="E86" s="16"/>
      <c r="F86" s="24">
        <f t="shared" si="42"/>
        <v>0</v>
      </c>
      <c r="G86" s="2">
        <f t="shared" si="36"/>
        <v>0</v>
      </c>
      <c r="H86" s="15"/>
      <c r="I86" s="2">
        <f t="shared" si="44"/>
        <v>17.240000000000002</v>
      </c>
      <c r="J86" s="2">
        <v>86.2</v>
      </c>
      <c r="K86" s="2" t="s">
        <v>363</v>
      </c>
      <c r="L86" s="2" t="s">
        <v>188</v>
      </c>
      <c r="M86" s="6"/>
    </row>
    <row r="87" spans="1:13" ht="40.200000000000003" hidden="1" customHeight="1" x14ac:dyDescent="0.25">
      <c r="A87" s="11"/>
      <c r="B87" s="11"/>
      <c r="C87" s="11" t="str">
        <v/>
      </c>
      <c r="D87" s="16" t="str">
        <v/>
      </c>
      <c r="E87" s="16"/>
      <c r="F87" s="24">
        <f t="shared" si="42"/>
        <v>0</v>
      </c>
      <c r="G87" s="2">
        <f t="shared" si="36"/>
        <v>0</v>
      </c>
      <c r="H87" s="15"/>
      <c r="I87" s="2"/>
      <c r="J87" s="2"/>
      <c r="K87" s="2"/>
      <c r="L87" s="2"/>
      <c r="M87" s="6"/>
    </row>
    <row r="88" spans="1:13" ht="40.200000000000003" hidden="1" customHeight="1" x14ac:dyDescent="0.25">
      <c r="A88" s="11"/>
      <c r="B88" s="11"/>
      <c r="C88" s="11" t="str">
        <v/>
      </c>
      <c r="D88" s="16" t="str">
        <v/>
      </c>
      <c r="E88" s="16"/>
      <c r="F88" s="24">
        <f t="shared" si="42"/>
        <v>0</v>
      </c>
      <c r="G88" s="2">
        <f t="shared" si="36"/>
        <v>0</v>
      </c>
      <c r="H88" s="15"/>
      <c r="I88" s="2">
        <f t="shared" si="44"/>
        <v>17.240000000000002</v>
      </c>
      <c r="J88" s="2">
        <v>86.2</v>
      </c>
      <c r="K88" s="2" t="s">
        <v>363</v>
      </c>
      <c r="L88" s="2" t="s">
        <v>189</v>
      </c>
      <c r="M88" s="6"/>
    </row>
    <row r="89" spans="1:13" ht="40.200000000000003" hidden="1" customHeight="1" x14ac:dyDescent="0.25">
      <c r="A89" s="11"/>
      <c r="B89" s="11"/>
      <c r="C89" s="11" t="str">
        <v/>
      </c>
      <c r="D89" s="16" t="str">
        <v/>
      </c>
      <c r="E89" s="16"/>
      <c r="F89" s="24">
        <f t="shared" si="42"/>
        <v>0</v>
      </c>
      <c r="G89" s="2">
        <f t="shared" si="36"/>
        <v>0</v>
      </c>
      <c r="H89" s="15"/>
      <c r="I89" s="2">
        <f t="shared" si="44"/>
        <v>17.240000000000002</v>
      </c>
      <c r="J89" s="2">
        <v>86.2</v>
      </c>
      <c r="K89" s="2" t="s">
        <v>363</v>
      </c>
      <c r="L89" s="2" t="s">
        <v>190</v>
      </c>
      <c r="M89" s="6"/>
    </row>
    <row r="90" spans="1:13" ht="40.200000000000003" hidden="1" customHeight="1" x14ac:dyDescent="0.25">
      <c r="A90" s="11"/>
      <c r="B90" s="11"/>
      <c r="C90" s="11" t="str">
        <v/>
      </c>
      <c r="D90" s="16" t="str">
        <v/>
      </c>
      <c r="E90" s="16"/>
      <c r="F90" s="24">
        <f t="shared" si="42"/>
        <v>0</v>
      </c>
      <c r="G90" s="2">
        <f t="shared" si="36"/>
        <v>0</v>
      </c>
      <c r="H90" s="15"/>
      <c r="I90" s="2">
        <f t="shared" si="44"/>
        <v>17.240000000000002</v>
      </c>
      <c r="J90" s="2">
        <v>86.2</v>
      </c>
      <c r="K90" s="2" t="s">
        <v>363</v>
      </c>
      <c r="L90" s="2" t="s">
        <v>191</v>
      </c>
      <c r="M90" s="6"/>
    </row>
    <row r="91" spans="1:13" ht="40.200000000000003" hidden="1" customHeight="1" x14ac:dyDescent="0.25">
      <c r="A91" s="11"/>
      <c r="B91" s="11"/>
      <c r="C91" s="11" t="str">
        <v/>
      </c>
      <c r="D91" s="16" t="str">
        <v/>
      </c>
      <c r="E91" s="16"/>
      <c r="F91" s="24">
        <f t="shared" si="42"/>
        <v>0</v>
      </c>
      <c r="G91" s="2">
        <f t="shared" si="36"/>
        <v>0</v>
      </c>
      <c r="H91" s="15"/>
      <c r="I91" s="2">
        <f t="shared" si="44"/>
        <v>26.900000000000002</v>
      </c>
      <c r="J91" s="2">
        <v>134.5</v>
      </c>
      <c r="K91" s="2" t="s">
        <v>363</v>
      </c>
      <c r="L91" s="2" t="s">
        <v>192</v>
      </c>
      <c r="M91" s="6"/>
    </row>
    <row r="92" spans="1:13" ht="40.200000000000003" hidden="1" customHeight="1" x14ac:dyDescent="0.25">
      <c r="A92" s="11"/>
      <c r="B92" s="11"/>
      <c r="C92" s="11" t="str">
        <v/>
      </c>
      <c r="D92" s="16" t="str">
        <v/>
      </c>
      <c r="E92" s="16"/>
      <c r="F92" s="24">
        <f t="shared" si="42"/>
        <v>0</v>
      </c>
      <c r="G92" s="2">
        <f t="shared" si="36"/>
        <v>0</v>
      </c>
      <c r="H92" s="15"/>
      <c r="I92" s="2">
        <f t="shared" si="44"/>
        <v>32.28</v>
      </c>
      <c r="J92" s="2">
        <v>161.4</v>
      </c>
      <c r="K92" s="2" t="s">
        <v>363</v>
      </c>
      <c r="L92" s="2" t="s">
        <v>193</v>
      </c>
      <c r="M92" s="6"/>
    </row>
    <row r="93" spans="1:13" ht="40.200000000000003" customHeight="1" x14ac:dyDescent="0.25">
      <c r="C93" s="19" t="str">
        <v/>
      </c>
    </row>
  </sheetData>
  <mergeCells count="2">
    <mergeCell ref="N4:S4"/>
    <mergeCell ref="N6:S6"/>
  </mergeCells>
  <pageMargins left="0.25" right="0.25" top="0.75" bottom="0.75" header="0.3" footer="0.3"/>
  <pageSetup paperSize="124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55A4-47FE-47CF-964D-2A848F6ADA61}">
  <dimension ref="A1:K147"/>
  <sheetViews>
    <sheetView topLeftCell="A35" workbookViewId="0">
      <selection activeCell="B44" sqref="B44"/>
    </sheetView>
  </sheetViews>
  <sheetFormatPr defaultRowHeight="13.8" x14ac:dyDescent="0.25"/>
  <cols>
    <col min="1" max="1" width="4.69921875" bestFit="1" customWidth="1"/>
    <col min="2" max="2" width="26.19921875" customWidth="1"/>
    <col min="3" max="3" width="59.3984375" customWidth="1"/>
    <col min="4" max="4" width="10.296875" customWidth="1"/>
    <col min="5" max="6" width="10.296875" hidden="1" customWidth="1"/>
    <col min="7" max="8" width="11.59765625" hidden="1" customWidth="1"/>
    <col min="9" max="9" width="59.796875" customWidth="1"/>
    <col min="10" max="10" width="22.296875" customWidth="1"/>
    <col min="11" max="11" width="4.69921875" customWidth="1"/>
  </cols>
  <sheetData>
    <row r="1" spans="1:11" x14ac:dyDescent="0.25">
      <c r="A1" s="8"/>
    </row>
    <row r="11" spans="1:11" ht="36" customHeight="1" x14ac:dyDescent="0.25">
      <c r="A11" s="5">
        <v>1</v>
      </c>
      <c r="B11" s="1" t="s">
        <v>580</v>
      </c>
      <c r="C11" s="1" t="s">
        <v>103</v>
      </c>
      <c r="D11" s="1" t="s">
        <v>104</v>
      </c>
      <c r="E11" s="1" t="s">
        <v>104</v>
      </c>
      <c r="F11" s="1" t="s">
        <v>104</v>
      </c>
      <c r="G11" s="1" t="s">
        <v>104</v>
      </c>
      <c r="H11" s="1" t="s">
        <v>104</v>
      </c>
      <c r="I11" s="1" t="s">
        <v>102</v>
      </c>
      <c r="J11" s="1" t="s">
        <v>194</v>
      </c>
      <c r="K11" s="5">
        <v>15</v>
      </c>
    </row>
    <row r="12" spans="1:11" ht="36" customHeight="1" x14ac:dyDescent="0.25">
      <c r="A12" s="7">
        <v>1</v>
      </c>
      <c r="B12" s="3" t="s">
        <v>79</v>
      </c>
      <c r="C12" s="3" t="s">
        <v>79</v>
      </c>
      <c r="D12" s="23">
        <f>+E12+F12</f>
        <v>61.235999999999997</v>
      </c>
      <c r="E12" s="23">
        <f>+F12*35%</f>
        <v>15.875999999999999</v>
      </c>
      <c r="F12" s="2">
        <f t="shared" ref="F12:F35" si="0">+G12+H12</f>
        <v>45.36</v>
      </c>
      <c r="G12" s="2">
        <f>+H12*40%</f>
        <v>12.96</v>
      </c>
      <c r="H12" s="3">
        <v>32.4</v>
      </c>
      <c r="I12" s="3" t="s">
        <v>195</v>
      </c>
      <c r="J12" s="3" t="s">
        <v>195</v>
      </c>
      <c r="K12" s="7"/>
    </row>
    <row r="13" spans="1:11" ht="36" customHeight="1" x14ac:dyDescent="0.25">
      <c r="A13" s="7">
        <v>2</v>
      </c>
      <c r="B13" s="3" t="s">
        <v>581</v>
      </c>
      <c r="C13" s="3" t="s">
        <v>581</v>
      </c>
      <c r="D13" s="23">
        <f t="shared" ref="D13:D76" si="1">+E13+F13</f>
        <v>57.834000000000003</v>
      </c>
      <c r="E13" s="23">
        <f t="shared" ref="E13:E76" si="2">+F13*35%</f>
        <v>14.994</v>
      </c>
      <c r="F13" s="2">
        <f t="shared" si="0"/>
        <v>42.84</v>
      </c>
      <c r="G13" s="2">
        <f t="shared" ref="G13:G35" si="3">+H13*40%</f>
        <v>12.240000000000002</v>
      </c>
      <c r="H13" s="3">
        <v>30.6</v>
      </c>
      <c r="I13" s="3" t="s">
        <v>196</v>
      </c>
      <c r="J13" s="3" t="s">
        <v>196</v>
      </c>
      <c r="K13" s="7"/>
    </row>
    <row r="14" spans="1:11" ht="36" hidden="1" customHeight="1" x14ac:dyDescent="0.25">
      <c r="A14" s="7"/>
      <c r="B14" s="3" t="s">
        <v>582</v>
      </c>
      <c r="C14" s="3"/>
      <c r="D14" s="23">
        <f t="shared" si="1"/>
        <v>184.46399999999997</v>
      </c>
      <c r="E14" s="23">
        <f t="shared" si="2"/>
        <v>47.823999999999991</v>
      </c>
      <c r="F14" s="2">
        <f t="shared" si="0"/>
        <v>136.63999999999999</v>
      </c>
      <c r="G14" s="2">
        <f t="shared" si="3"/>
        <v>39.04</v>
      </c>
      <c r="H14" s="3">
        <v>97.6</v>
      </c>
      <c r="I14" s="3"/>
      <c r="J14" s="3" t="s">
        <v>516</v>
      </c>
      <c r="K14" s="7"/>
    </row>
    <row r="15" spans="1:11" ht="36" customHeight="1" x14ac:dyDescent="0.25">
      <c r="A15" s="7">
        <v>3</v>
      </c>
      <c r="B15" s="3" t="s">
        <v>492</v>
      </c>
      <c r="C15" s="3" t="s">
        <v>495</v>
      </c>
      <c r="D15" s="23">
        <f t="shared" si="1"/>
        <v>169.53300000000002</v>
      </c>
      <c r="E15" s="23">
        <f t="shared" si="2"/>
        <v>43.953000000000003</v>
      </c>
      <c r="F15" s="2">
        <f t="shared" si="0"/>
        <v>125.58000000000001</v>
      </c>
      <c r="G15" s="2">
        <f t="shared" si="3"/>
        <v>35.880000000000003</v>
      </c>
      <c r="H15" s="3">
        <v>89.7</v>
      </c>
      <c r="I15" s="3" t="s">
        <v>494</v>
      </c>
      <c r="J15" s="3" t="s">
        <v>493</v>
      </c>
      <c r="K15" s="7"/>
    </row>
    <row r="16" spans="1:11" ht="36" customHeight="1" x14ac:dyDescent="0.25">
      <c r="A16" s="7">
        <v>3.71428571428571</v>
      </c>
      <c r="B16" s="3" t="s">
        <v>496</v>
      </c>
      <c r="C16" s="3" t="s">
        <v>497</v>
      </c>
      <c r="D16" s="23">
        <f t="shared" si="1"/>
        <v>169.53300000000002</v>
      </c>
      <c r="E16" s="23">
        <f t="shared" si="2"/>
        <v>43.953000000000003</v>
      </c>
      <c r="F16" s="2">
        <f t="shared" si="0"/>
        <v>125.58000000000001</v>
      </c>
      <c r="G16" s="2">
        <f t="shared" si="3"/>
        <v>35.880000000000003</v>
      </c>
      <c r="H16" s="3">
        <v>89.7</v>
      </c>
      <c r="I16" s="3" t="s">
        <v>499</v>
      </c>
      <c r="J16" s="3" t="s">
        <v>498</v>
      </c>
      <c r="K16" s="7"/>
    </row>
    <row r="17" spans="1:11" ht="36" hidden="1" customHeight="1" x14ac:dyDescent="0.25">
      <c r="A17" s="7">
        <v>4.3571428571428497</v>
      </c>
      <c r="B17" s="3"/>
      <c r="C17" s="3"/>
      <c r="D17" s="23">
        <f t="shared" si="1"/>
        <v>0</v>
      </c>
      <c r="E17" s="23">
        <f t="shared" si="2"/>
        <v>0</v>
      </c>
      <c r="F17" s="2"/>
      <c r="G17" s="2">
        <f t="shared" si="3"/>
        <v>15.840000000000002</v>
      </c>
      <c r="H17" s="3">
        <v>39.6</v>
      </c>
      <c r="I17" s="3" t="s">
        <v>501</v>
      </c>
      <c r="J17" s="3" t="s">
        <v>501</v>
      </c>
      <c r="K17" s="7"/>
    </row>
    <row r="18" spans="1:11" ht="36" hidden="1" customHeight="1" x14ac:dyDescent="0.25">
      <c r="A18" s="7">
        <v>5</v>
      </c>
      <c r="B18" s="3"/>
      <c r="C18" s="3"/>
      <c r="D18" s="23">
        <f t="shared" si="1"/>
        <v>0</v>
      </c>
      <c r="E18" s="23">
        <f t="shared" si="2"/>
        <v>0</v>
      </c>
      <c r="F18" s="2"/>
      <c r="G18" s="2">
        <f t="shared" si="3"/>
        <v>25.080000000000002</v>
      </c>
      <c r="H18" s="3">
        <v>62.7</v>
      </c>
      <c r="I18" s="3" t="s">
        <v>500</v>
      </c>
      <c r="J18" s="3" t="s">
        <v>500</v>
      </c>
      <c r="K18" s="7"/>
    </row>
    <row r="19" spans="1:11" ht="36" customHeight="1" x14ac:dyDescent="0.25">
      <c r="A19" s="7">
        <v>5.6428571428571397</v>
      </c>
      <c r="B19" s="3" t="s">
        <v>583</v>
      </c>
      <c r="C19" s="3" t="s">
        <v>583</v>
      </c>
      <c r="D19" s="23">
        <f t="shared" si="1"/>
        <v>97.713000000000008</v>
      </c>
      <c r="E19" s="23">
        <f t="shared" si="2"/>
        <v>25.333000000000002</v>
      </c>
      <c r="F19" s="2">
        <f t="shared" si="0"/>
        <v>72.38000000000001</v>
      </c>
      <c r="G19" s="2">
        <f t="shared" si="3"/>
        <v>20.680000000000003</v>
      </c>
      <c r="H19" s="3">
        <v>51.7</v>
      </c>
      <c r="I19" s="3" t="s">
        <v>197</v>
      </c>
      <c r="J19" s="3" t="s">
        <v>197</v>
      </c>
      <c r="K19" s="7"/>
    </row>
    <row r="20" spans="1:11" ht="36" customHeight="1" x14ac:dyDescent="0.25">
      <c r="A20" s="7">
        <v>6.2857142857142803</v>
      </c>
      <c r="B20" s="3" t="s">
        <v>584</v>
      </c>
      <c r="C20" s="3" t="s">
        <v>584</v>
      </c>
      <c r="D20" s="23">
        <f t="shared" si="1"/>
        <v>118.503</v>
      </c>
      <c r="E20" s="23">
        <f t="shared" si="2"/>
        <v>30.722999999999999</v>
      </c>
      <c r="F20" s="2">
        <f t="shared" si="0"/>
        <v>87.78</v>
      </c>
      <c r="G20" s="2">
        <f t="shared" si="3"/>
        <v>25.080000000000002</v>
      </c>
      <c r="H20" s="3">
        <v>62.7</v>
      </c>
      <c r="I20" s="3" t="s">
        <v>198</v>
      </c>
      <c r="J20" s="3" t="s">
        <v>198</v>
      </c>
      <c r="K20" s="7"/>
    </row>
    <row r="21" spans="1:11" ht="36" customHeight="1" x14ac:dyDescent="0.25">
      <c r="A21" s="7">
        <v>6.9285714285714297</v>
      </c>
      <c r="B21" s="3" t="s">
        <v>585</v>
      </c>
      <c r="C21" s="3" t="s">
        <v>585</v>
      </c>
      <c r="D21" s="23">
        <f t="shared" si="1"/>
        <v>118.503</v>
      </c>
      <c r="E21" s="23">
        <f t="shared" si="2"/>
        <v>30.722999999999999</v>
      </c>
      <c r="F21" s="2">
        <f t="shared" si="0"/>
        <v>87.78</v>
      </c>
      <c r="G21" s="2">
        <f t="shared" si="3"/>
        <v>25.080000000000002</v>
      </c>
      <c r="H21" s="3">
        <v>62.7</v>
      </c>
      <c r="I21" s="3" t="s">
        <v>199</v>
      </c>
      <c r="J21" s="3" t="s">
        <v>199</v>
      </c>
      <c r="K21" s="7"/>
    </row>
    <row r="22" spans="1:11" ht="36" customHeight="1" x14ac:dyDescent="0.25">
      <c r="A22" s="7">
        <v>7.5714285714285703</v>
      </c>
      <c r="B22" s="3" t="s">
        <v>586</v>
      </c>
      <c r="C22" s="3" t="s">
        <v>586</v>
      </c>
      <c r="D22" s="23">
        <f t="shared" si="1"/>
        <v>97.713000000000008</v>
      </c>
      <c r="E22" s="23">
        <f t="shared" si="2"/>
        <v>25.333000000000002</v>
      </c>
      <c r="F22" s="2">
        <f t="shared" si="0"/>
        <v>72.38000000000001</v>
      </c>
      <c r="G22" s="2">
        <f t="shared" si="3"/>
        <v>20.680000000000003</v>
      </c>
      <c r="H22" s="3">
        <v>51.7</v>
      </c>
      <c r="I22" s="3" t="s">
        <v>200</v>
      </c>
      <c r="J22" s="3" t="s">
        <v>200</v>
      </c>
      <c r="K22" s="7"/>
    </row>
    <row r="23" spans="1:11" ht="36" customHeight="1" x14ac:dyDescent="0.25">
      <c r="A23" s="7">
        <v>8.21428571428571</v>
      </c>
      <c r="B23" s="3" t="s">
        <v>587</v>
      </c>
      <c r="C23" s="3" t="s">
        <v>587</v>
      </c>
      <c r="D23" s="23">
        <f t="shared" si="1"/>
        <v>135.51300000000001</v>
      </c>
      <c r="E23" s="23">
        <f t="shared" si="2"/>
        <v>35.133000000000003</v>
      </c>
      <c r="F23" s="2">
        <f t="shared" si="0"/>
        <v>100.38000000000001</v>
      </c>
      <c r="G23" s="2">
        <f t="shared" si="3"/>
        <v>28.680000000000003</v>
      </c>
      <c r="H23" s="3">
        <v>71.7</v>
      </c>
      <c r="I23" s="3" t="s">
        <v>201</v>
      </c>
      <c r="J23" s="3" t="s">
        <v>201</v>
      </c>
      <c r="K23" s="7"/>
    </row>
    <row r="24" spans="1:11" ht="36" customHeight="1" x14ac:dyDescent="0.25">
      <c r="A24" s="7">
        <v>8.8571428571428594</v>
      </c>
      <c r="B24" s="3" t="s">
        <v>588</v>
      </c>
      <c r="C24" s="3" t="s">
        <v>588</v>
      </c>
      <c r="D24" s="23">
        <f t="shared" si="1"/>
        <v>118.503</v>
      </c>
      <c r="E24" s="23">
        <f t="shared" si="2"/>
        <v>30.722999999999999</v>
      </c>
      <c r="F24" s="2">
        <f t="shared" si="0"/>
        <v>87.78</v>
      </c>
      <c r="G24" s="2">
        <f t="shared" si="3"/>
        <v>25.080000000000002</v>
      </c>
      <c r="H24" s="3">
        <v>62.7</v>
      </c>
      <c r="I24" s="3" t="s">
        <v>202</v>
      </c>
      <c r="J24" s="3" t="s">
        <v>202</v>
      </c>
      <c r="K24" s="7"/>
    </row>
    <row r="25" spans="1:11" ht="36" customHeight="1" x14ac:dyDescent="0.25">
      <c r="A25" s="7">
        <v>9.5</v>
      </c>
      <c r="B25" s="3" t="s">
        <v>589</v>
      </c>
      <c r="C25" s="3" t="s">
        <v>589</v>
      </c>
      <c r="D25" s="23">
        <f t="shared" si="1"/>
        <v>152.523</v>
      </c>
      <c r="E25" s="23">
        <f t="shared" si="2"/>
        <v>39.542999999999999</v>
      </c>
      <c r="F25" s="2">
        <f t="shared" si="0"/>
        <v>112.98</v>
      </c>
      <c r="G25" s="2">
        <f t="shared" si="3"/>
        <v>32.28</v>
      </c>
      <c r="H25" s="3">
        <v>80.7</v>
      </c>
      <c r="I25" s="3" t="s">
        <v>203</v>
      </c>
      <c r="J25" s="3" t="s">
        <v>203</v>
      </c>
      <c r="K25" s="7"/>
    </row>
    <row r="26" spans="1:11" ht="36" customHeight="1" x14ac:dyDescent="0.25">
      <c r="A26" s="7">
        <v>10.1428571428571</v>
      </c>
      <c r="B26" s="3" t="s">
        <v>35</v>
      </c>
      <c r="C26" s="3" t="s">
        <v>35</v>
      </c>
      <c r="D26" s="23">
        <f t="shared" si="1"/>
        <v>169.53300000000002</v>
      </c>
      <c r="E26" s="23">
        <f t="shared" si="2"/>
        <v>43.953000000000003</v>
      </c>
      <c r="F26" s="2">
        <f t="shared" si="0"/>
        <v>125.58000000000001</v>
      </c>
      <c r="G26" s="2">
        <f t="shared" si="3"/>
        <v>35.880000000000003</v>
      </c>
      <c r="H26" s="3">
        <v>89.7</v>
      </c>
      <c r="I26" s="3" t="s">
        <v>364</v>
      </c>
      <c r="J26" s="3" t="s">
        <v>204</v>
      </c>
      <c r="K26" s="7"/>
    </row>
    <row r="27" spans="1:11" ht="36" customHeight="1" x14ac:dyDescent="0.25">
      <c r="A27" s="7">
        <v>10.785714285714301</v>
      </c>
      <c r="B27" s="3" t="s">
        <v>590</v>
      </c>
      <c r="C27" s="3" t="s">
        <v>590</v>
      </c>
      <c r="D27" s="23">
        <f t="shared" si="1"/>
        <v>152.523</v>
      </c>
      <c r="E27" s="23">
        <f t="shared" si="2"/>
        <v>39.542999999999999</v>
      </c>
      <c r="F27" s="2">
        <f t="shared" si="0"/>
        <v>112.98</v>
      </c>
      <c r="G27" s="2">
        <f t="shared" si="3"/>
        <v>32.28</v>
      </c>
      <c r="H27" s="3">
        <v>80.7</v>
      </c>
      <c r="I27" s="3" t="s">
        <v>364</v>
      </c>
      <c r="J27" s="3" t="s">
        <v>205</v>
      </c>
      <c r="K27" s="7"/>
    </row>
    <row r="28" spans="1:11" ht="36" customHeight="1" x14ac:dyDescent="0.25">
      <c r="A28" s="7">
        <v>11.4285714285714</v>
      </c>
      <c r="B28" s="3" t="s">
        <v>591</v>
      </c>
      <c r="C28" s="3" t="s">
        <v>591</v>
      </c>
      <c r="D28" s="23">
        <f t="shared" si="1"/>
        <v>169.53300000000002</v>
      </c>
      <c r="E28" s="23">
        <f t="shared" si="2"/>
        <v>43.953000000000003</v>
      </c>
      <c r="F28" s="2">
        <f t="shared" si="0"/>
        <v>125.58000000000001</v>
      </c>
      <c r="G28" s="2">
        <f t="shared" si="3"/>
        <v>35.880000000000003</v>
      </c>
      <c r="H28" s="3">
        <v>89.7</v>
      </c>
      <c r="I28" s="3" t="s">
        <v>364</v>
      </c>
      <c r="J28" s="3" t="s">
        <v>206</v>
      </c>
      <c r="K28" s="7"/>
    </row>
    <row r="29" spans="1:11" ht="36" customHeight="1" x14ac:dyDescent="0.25">
      <c r="A29" s="7">
        <v>12.0714285714285</v>
      </c>
      <c r="B29" s="3" t="s">
        <v>36</v>
      </c>
      <c r="C29" s="3" t="s">
        <v>36</v>
      </c>
      <c r="D29" s="23">
        <f t="shared" si="1"/>
        <v>169.53300000000002</v>
      </c>
      <c r="E29" s="23">
        <f t="shared" si="2"/>
        <v>43.953000000000003</v>
      </c>
      <c r="F29" s="2">
        <f t="shared" si="0"/>
        <v>125.58000000000001</v>
      </c>
      <c r="G29" s="2">
        <f t="shared" si="3"/>
        <v>35.880000000000003</v>
      </c>
      <c r="H29" s="3">
        <v>89.7</v>
      </c>
      <c r="I29" s="3" t="s">
        <v>364</v>
      </c>
      <c r="J29" s="3" t="s">
        <v>207</v>
      </c>
      <c r="K29" s="7"/>
    </row>
    <row r="30" spans="1:11" ht="36" customHeight="1" x14ac:dyDescent="0.25">
      <c r="A30" s="7">
        <v>12.714285714285699</v>
      </c>
      <c r="B30" s="3" t="s">
        <v>37</v>
      </c>
      <c r="C30" s="3" t="s">
        <v>37</v>
      </c>
      <c r="D30" s="23">
        <f t="shared" si="1"/>
        <v>130.41</v>
      </c>
      <c r="E30" s="23">
        <f t="shared" si="2"/>
        <v>33.809999999999995</v>
      </c>
      <c r="F30" s="2">
        <f t="shared" si="0"/>
        <v>96.6</v>
      </c>
      <c r="G30" s="2">
        <f t="shared" si="3"/>
        <v>27.6</v>
      </c>
      <c r="H30" s="3">
        <v>69</v>
      </c>
      <c r="I30" s="3" t="s">
        <v>365</v>
      </c>
      <c r="J30" s="3" t="s">
        <v>208</v>
      </c>
      <c r="K30" s="7"/>
    </row>
    <row r="31" spans="1:11" ht="36" customHeight="1" x14ac:dyDescent="0.25">
      <c r="A31" s="7">
        <v>13.357142857142801</v>
      </c>
      <c r="B31" s="3" t="s">
        <v>117</v>
      </c>
      <c r="C31" s="3" t="s">
        <v>117</v>
      </c>
      <c r="D31" s="23">
        <f t="shared" si="1"/>
        <v>130.41</v>
      </c>
      <c r="E31" s="23">
        <f t="shared" si="2"/>
        <v>33.809999999999995</v>
      </c>
      <c r="F31" s="2">
        <f t="shared" si="0"/>
        <v>96.6</v>
      </c>
      <c r="G31" s="2">
        <f t="shared" si="3"/>
        <v>27.6</v>
      </c>
      <c r="H31" s="3">
        <v>69</v>
      </c>
      <c r="I31" s="3" t="s">
        <v>209</v>
      </c>
      <c r="J31" s="3" t="s">
        <v>209</v>
      </c>
      <c r="K31" s="7"/>
    </row>
    <row r="32" spans="1:11" ht="36" customHeight="1" x14ac:dyDescent="0.25">
      <c r="A32" s="7">
        <v>14</v>
      </c>
      <c r="B32" s="3" t="s">
        <v>118</v>
      </c>
      <c r="C32" s="3" t="s">
        <v>118</v>
      </c>
      <c r="D32" s="23">
        <f t="shared" si="1"/>
        <v>130.41</v>
      </c>
      <c r="E32" s="23">
        <f t="shared" si="2"/>
        <v>33.809999999999995</v>
      </c>
      <c r="F32" s="2">
        <f t="shared" si="0"/>
        <v>96.6</v>
      </c>
      <c r="G32" s="2">
        <f t="shared" si="3"/>
        <v>27.6</v>
      </c>
      <c r="H32" s="3">
        <v>69</v>
      </c>
      <c r="I32" s="3" t="s">
        <v>368</v>
      </c>
      <c r="J32" s="3" t="s">
        <v>210</v>
      </c>
      <c r="K32" s="7"/>
    </row>
    <row r="33" spans="1:11" ht="36" customHeight="1" x14ac:dyDescent="0.25">
      <c r="A33" s="7">
        <v>14.6428571428571</v>
      </c>
      <c r="B33" s="3" t="s">
        <v>212</v>
      </c>
      <c r="C33" s="3" t="s">
        <v>212</v>
      </c>
      <c r="D33" s="23">
        <f t="shared" si="1"/>
        <v>146.66399999999999</v>
      </c>
      <c r="E33" s="23">
        <f t="shared" si="2"/>
        <v>38.023999999999994</v>
      </c>
      <c r="F33" s="2">
        <f t="shared" si="0"/>
        <v>108.63999999999999</v>
      </c>
      <c r="G33" s="2">
        <f t="shared" si="3"/>
        <v>31.04</v>
      </c>
      <c r="H33" s="3">
        <v>77.599999999999994</v>
      </c>
      <c r="I33" s="3" t="s">
        <v>369</v>
      </c>
      <c r="J33" s="3" t="s">
        <v>211</v>
      </c>
      <c r="K33" s="7"/>
    </row>
    <row r="34" spans="1:11" ht="36" customHeight="1" x14ac:dyDescent="0.25">
      <c r="A34" s="7">
        <v>15.285714285714199</v>
      </c>
      <c r="B34" s="3" t="s">
        <v>38</v>
      </c>
      <c r="C34" s="3" t="s">
        <v>593</v>
      </c>
      <c r="D34" s="23">
        <f t="shared" si="1"/>
        <v>130.41</v>
      </c>
      <c r="E34" s="23">
        <f t="shared" si="2"/>
        <v>33.809999999999995</v>
      </c>
      <c r="F34" s="2">
        <f t="shared" si="0"/>
        <v>96.6</v>
      </c>
      <c r="G34" s="2">
        <f t="shared" si="3"/>
        <v>27.6</v>
      </c>
      <c r="H34" s="3">
        <v>69</v>
      </c>
      <c r="I34" s="3" t="s">
        <v>366</v>
      </c>
      <c r="J34" s="3" t="s">
        <v>213</v>
      </c>
      <c r="K34" s="7"/>
    </row>
    <row r="35" spans="1:11" ht="36" customHeight="1" x14ac:dyDescent="0.25">
      <c r="A35" s="7">
        <v>15.9285714285714</v>
      </c>
      <c r="B35" s="3" t="s">
        <v>592</v>
      </c>
      <c r="C35" s="3" t="s">
        <v>594</v>
      </c>
      <c r="D35" s="23">
        <f t="shared" si="1"/>
        <v>130.41</v>
      </c>
      <c r="E35" s="23">
        <f t="shared" si="2"/>
        <v>33.809999999999995</v>
      </c>
      <c r="F35" s="2">
        <f t="shared" si="0"/>
        <v>96.6</v>
      </c>
      <c r="G35" s="2">
        <f t="shared" si="3"/>
        <v>27.6</v>
      </c>
      <c r="H35" s="3">
        <v>69</v>
      </c>
      <c r="I35" s="3" t="s">
        <v>367</v>
      </c>
      <c r="J35" s="3" t="s">
        <v>214</v>
      </c>
      <c r="K35" s="7"/>
    </row>
    <row r="36" spans="1:11" ht="36" hidden="1" customHeight="1" x14ac:dyDescent="0.25">
      <c r="A36" s="7"/>
      <c r="B36" s="3"/>
      <c r="C36" s="3"/>
      <c r="D36" s="23">
        <f t="shared" si="1"/>
        <v>0</v>
      </c>
      <c r="E36" s="23">
        <f t="shared" si="2"/>
        <v>0</v>
      </c>
      <c r="F36" s="2"/>
      <c r="G36" s="2">
        <f t="shared" ref="G36:G37" si="4">+H36*55%</f>
        <v>37.950000000000003</v>
      </c>
      <c r="H36" s="3">
        <v>69</v>
      </c>
      <c r="I36" s="3" t="s">
        <v>370</v>
      </c>
      <c r="J36" s="3" t="s">
        <v>215</v>
      </c>
      <c r="K36" s="7"/>
    </row>
    <row r="37" spans="1:11" ht="36" hidden="1" customHeight="1" x14ac:dyDescent="0.25">
      <c r="A37" s="7"/>
      <c r="B37" s="3"/>
      <c r="C37" s="3"/>
      <c r="D37" s="23">
        <f t="shared" si="1"/>
        <v>0</v>
      </c>
      <c r="E37" s="23">
        <f t="shared" si="2"/>
        <v>0</v>
      </c>
      <c r="F37" s="2"/>
      <c r="G37" s="2">
        <f t="shared" si="4"/>
        <v>42.68</v>
      </c>
      <c r="H37" s="3">
        <v>77.599999999999994</v>
      </c>
      <c r="I37" s="3" t="s">
        <v>371</v>
      </c>
      <c r="J37" s="3" t="s">
        <v>216</v>
      </c>
      <c r="K37" s="7"/>
    </row>
    <row r="38" spans="1:11" ht="36" customHeight="1" x14ac:dyDescent="0.25">
      <c r="A38" s="5">
        <v>2</v>
      </c>
      <c r="B38" s="1" t="s">
        <v>595</v>
      </c>
      <c r="C38" s="1" t="s">
        <v>103</v>
      </c>
      <c r="D38" s="1" t="s">
        <v>104</v>
      </c>
      <c r="E38" s="1" t="s">
        <v>104</v>
      </c>
      <c r="F38" s="1" t="s">
        <v>104</v>
      </c>
      <c r="G38" s="1" t="s">
        <v>104</v>
      </c>
      <c r="H38" s="1" t="s">
        <v>104</v>
      </c>
      <c r="I38" s="1" t="s">
        <v>102</v>
      </c>
      <c r="J38" s="1" t="s">
        <v>217</v>
      </c>
      <c r="K38" s="5">
        <v>16</v>
      </c>
    </row>
    <row r="39" spans="1:11" ht="36" customHeight="1" x14ac:dyDescent="0.25">
      <c r="A39" s="7">
        <v>1</v>
      </c>
      <c r="B39" s="3" t="s">
        <v>39</v>
      </c>
      <c r="C39" s="3"/>
      <c r="D39" s="23">
        <f t="shared" si="1"/>
        <v>87.156000000000006</v>
      </c>
      <c r="E39" s="23">
        <f t="shared" si="2"/>
        <v>22.596</v>
      </c>
      <c r="F39" s="2">
        <f t="shared" ref="F39:F46" si="5">+G39+H39</f>
        <v>64.56</v>
      </c>
      <c r="G39" s="2">
        <f>+H39*20%</f>
        <v>10.76</v>
      </c>
      <c r="H39" s="3">
        <v>53.8</v>
      </c>
      <c r="I39" s="3"/>
      <c r="J39" s="3" t="s">
        <v>218</v>
      </c>
      <c r="K39" s="7"/>
    </row>
    <row r="40" spans="1:11" ht="36" customHeight="1" x14ac:dyDescent="0.25">
      <c r="A40" s="7">
        <v>2</v>
      </c>
      <c r="B40" s="3" t="s">
        <v>40</v>
      </c>
      <c r="C40" s="3"/>
      <c r="D40" s="23">
        <f t="shared" si="1"/>
        <v>87.156000000000006</v>
      </c>
      <c r="E40" s="23">
        <f t="shared" si="2"/>
        <v>22.596</v>
      </c>
      <c r="F40" s="2">
        <f t="shared" si="5"/>
        <v>64.56</v>
      </c>
      <c r="G40" s="2">
        <f t="shared" ref="G40:G44" si="6">+H40*20%</f>
        <v>10.76</v>
      </c>
      <c r="H40" s="3">
        <v>53.8</v>
      </c>
      <c r="I40" s="3"/>
      <c r="J40" s="3" t="s">
        <v>219</v>
      </c>
      <c r="K40" s="7"/>
    </row>
    <row r="41" spans="1:11" ht="36" customHeight="1" x14ac:dyDescent="0.25">
      <c r="A41" s="7">
        <v>3</v>
      </c>
      <c r="B41" s="3" t="s">
        <v>41</v>
      </c>
      <c r="C41" s="3"/>
      <c r="D41" s="23">
        <f t="shared" si="1"/>
        <v>87.156000000000006</v>
      </c>
      <c r="E41" s="23">
        <f t="shared" si="2"/>
        <v>22.596</v>
      </c>
      <c r="F41" s="2">
        <f t="shared" si="5"/>
        <v>64.56</v>
      </c>
      <c r="G41" s="2">
        <f t="shared" si="6"/>
        <v>10.76</v>
      </c>
      <c r="H41" s="3">
        <v>53.8</v>
      </c>
      <c r="I41" s="3"/>
      <c r="J41" s="3" t="s">
        <v>220</v>
      </c>
      <c r="K41" s="7"/>
    </row>
    <row r="42" spans="1:11" ht="36" customHeight="1" x14ac:dyDescent="0.25">
      <c r="A42" s="7">
        <v>4</v>
      </c>
      <c r="B42" s="3" t="s">
        <v>42</v>
      </c>
      <c r="C42" s="3"/>
      <c r="D42" s="23">
        <f t="shared" si="1"/>
        <v>87.156000000000006</v>
      </c>
      <c r="E42" s="23">
        <f t="shared" si="2"/>
        <v>22.596</v>
      </c>
      <c r="F42" s="2">
        <f t="shared" si="5"/>
        <v>64.56</v>
      </c>
      <c r="G42" s="2">
        <f t="shared" si="6"/>
        <v>10.76</v>
      </c>
      <c r="H42" s="3">
        <v>53.8</v>
      </c>
      <c r="I42" s="3"/>
      <c r="J42" s="3" t="s">
        <v>221</v>
      </c>
      <c r="K42" s="7"/>
    </row>
    <row r="43" spans="1:11" ht="36" customHeight="1" x14ac:dyDescent="0.25">
      <c r="A43" s="7">
        <v>5</v>
      </c>
      <c r="B43" s="3" t="s">
        <v>596</v>
      </c>
      <c r="C43" s="3"/>
      <c r="D43" s="23">
        <f t="shared" si="1"/>
        <v>87.156000000000006</v>
      </c>
      <c r="E43" s="23">
        <f t="shared" si="2"/>
        <v>22.596</v>
      </c>
      <c r="F43" s="2">
        <f t="shared" si="5"/>
        <v>64.56</v>
      </c>
      <c r="G43" s="2">
        <f t="shared" si="6"/>
        <v>10.76</v>
      </c>
      <c r="H43" s="3">
        <v>53.8</v>
      </c>
      <c r="I43" s="3"/>
      <c r="J43" s="3" t="s">
        <v>222</v>
      </c>
      <c r="K43" s="7"/>
    </row>
    <row r="44" spans="1:11" ht="36" customHeight="1" x14ac:dyDescent="0.25">
      <c r="A44" s="7">
        <v>6</v>
      </c>
      <c r="B44" s="3" t="s">
        <v>597</v>
      </c>
      <c r="C44" s="3"/>
      <c r="D44" s="23">
        <f t="shared" si="1"/>
        <v>41.795999999999999</v>
      </c>
      <c r="E44" s="23">
        <f t="shared" si="2"/>
        <v>10.836</v>
      </c>
      <c r="F44" s="2">
        <f t="shared" si="5"/>
        <v>30.96</v>
      </c>
      <c r="G44" s="2">
        <f t="shared" si="6"/>
        <v>5.16</v>
      </c>
      <c r="H44" s="3">
        <v>25.8</v>
      </c>
      <c r="I44" s="3"/>
      <c r="J44" s="3" t="s">
        <v>224</v>
      </c>
      <c r="K44" s="7"/>
    </row>
    <row r="45" spans="1:11" ht="36" customHeight="1" x14ac:dyDescent="0.25">
      <c r="A45" s="7">
        <v>7</v>
      </c>
      <c r="B45" s="3" t="s">
        <v>598</v>
      </c>
      <c r="C45" s="3" t="s">
        <v>600</v>
      </c>
      <c r="D45" s="23">
        <f t="shared" si="1"/>
        <v>151.19999999999999</v>
      </c>
      <c r="E45" s="23">
        <f t="shared" si="2"/>
        <v>39.199999999999996</v>
      </c>
      <c r="F45" s="2">
        <f t="shared" si="5"/>
        <v>112</v>
      </c>
      <c r="G45" s="2">
        <f>+H45*40%</f>
        <v>32</v>
      </c>
      <c r="H45" s="3">
        <v>80</v>
      </c>
      <c r="I45" s="3"/>
      <c r="J45" s="3" t="s">
        <v>225</v>
      </c>
      <c r="K45" s="7"/>
    </row>
    <row r="46" spans="1:11" ht="36" customHeight="1" x14ac:dyDescent="0.25">
      <c r="A46" s="7">
        <v>8</v>
      </c>
      <c r="B46" s="3" t="s">
        <v>599</v>
      </c>
      <c r="C46" s="3" t="s">
        <v>601</v>
      </c>
      <c r="D46" s="23">
        <f t="shared" si="1"/>
        <v>187.10999999999999</v>
      </c>
      <c r="E46" s="23">
        <f t="shared" si="2"/>
        <v>48.51</v>
      </c>
      <c r="F46" s="2">
        <f t="shared" si="5"/>
        <v>138.6</v>
      </c>
      <c r="G46" s="2">
        <f>+H46*40%</f>
        <v>39.6</v>
      </c>
      <c r="H46" s="3">
        <v>99</v>
      </c>
      <c r="I46" s="3"/>
      <c r="J46" s="3" t="s">
        <v>225</v>
      </c>
      <c r="K46" s="7"/>
    </row>
    <row r="47" spans="1:11" ht="36" customHeight="1" x14ac:dyDescent="0.25">
      <c r="A47" s="5">
        <v>3</v>
      </c>
      <c r="B47" s="1" t="s">
        <v>43</v>
      </c>
      <c r="C47" s="1" t="s">
        <v>103</v>
      </c>
      <c r="D47" s="1" t="s">
        <v>104</v>
      </c>
      <c r="E47" s="1" t="s">
        <v>104</v>
      </c>
      <c r="F47" s="1" t="s">
        <v>104</v>
      </c>
      <c r="G47" s="1" t="s">
        <v>104</v>
      </c>
      <c r="H47" s="1" t="s">
        <v>104</v>
      </c>
      <c r="I47" s="1" t="s">
        <v>102</v>
      </c>
      <c r="J47" s="1" t="s">
        <v>226</v>
      </c>
      <c r="K47" s="5">
        <v>17</v>
      </c>
    </row>
    <row r="48" spans="1:11" ht="36" customHeight="1" x14ac:dyDescent="0.25">
      <c r="A48" s="7">
        <v>1</v>
      </c>
      <c r="B48" s="3" t="s">
        <v>44</v>
      </c>
      <c r="C48" s="3" t="s">
        <v>43</v>
      </c>
      <c r="D48" s="23">
        <f t="shared" si="1"/>
        <v>151.90199999999999</v>
      </c>
      <c r="E48" s="23">
        <f t="shared" si="2"/>
        <v>39.381999999999998</v>
      </c>
      <c r="F48" s="2">
        <f t="shared" ref="F48:F57" si="7">+G48+H48</f>
        <v>112.52</v>
      </c>
      <c r="G48" s="2">
        <f>+H48*45%</f>
        <v>34.92</v>
      </c>
      <c r="H48" s="3">
        <v>77.599999999999994</v>
      </c>
      <c r="I48" s="3" t="s">
        <v>372</v>
      </c>
      <c r="J48" s="3" t="s">
        <v>227</v>
      </c>
      <c r="K48" s="7"/>
    </row>
    <row r="49" spans="1:11" ht="36" customHeight="1" x14ac:dyDescent="0.25">
      <c r="A49" s="7">
        <v>2</v>
      </c>
      <c r="B49" s="3" t="s">
        <v>45</v>
      </c>
      <c r="C49" s="3" t="s">
        <v>43</v>
      </c>
      <c r="D49" s="23">
        <f t="shared" si="1"/>
        <v>135.0675</v>
      </c>
      <c r="E49" s="23">
        <f t="shared" si="2"/>
        <v>35.017499999999998</v>
      </c>
      <c r="F49" s="2">
        <f t="shared" si="7"/>
        <v>100.05</v>
      </c>
      <c r="G49" s="2">
        <f t="shared" ref="G49:G57" si="8">+H49*45%</f>
        <v>31.05</v>
      </c>
      <c r="H49" s="3">
        <v>69</v>
      </c>
      <c r="I49" s="3" t="s">
        <v>372</v>
      </c>
      <c r="J49" s="3" t="s">
        <v>228</v>
      </c>
      <c r="K49" s="7"/>
    </row>
    <row r="50" spans="1:11" ht="36" customHeight="1" x14ac:dyDescent="0.25">
      <c r="A50" s="7">
        <v>3</v>
      </c>
      <c r="B50" s="3" t="s">
        <v>46</v>
      </c>
      <c r="C50" s="3" t="s">
        <v>43</v>
      </c>
      <c r="D50" s="23">
        <f t="shared" si="1"/>
        <v>140.94</v>
      </c>
      <c r="E50" s="23">
        <f t="shared" si="2"/>
        <v>36.54</v>
      </c>
      <c r="F50" s="2">
        <f t="shared" si="7"/>
        <v>104.4</v>
      </c>
      <c r="G50" s="2">
        <f t="shared" si="8"/>
        <v>32.4</v>
      </c>
      <c r="H50" s="3">
        <v>72</v>
      </c>
      <c r="I50" s="3" t="s">
        <v>372</v>
      </c>
      <c r="J50" s="3" t="s">
        <v>229</v>
      </c>
      <c r="K50" s="7"/>
    </row>
    <row r="51" spans="1:11" ht="36" customHeight="1" x14ac:dyDescent="0.25">
      <c r="A51" s="7">
        <v>4</v>
      </c>
      <c r="B51" s="3" t="s">
        <v>47</v>
      </c>
      <c r="C51" s="3" t="s">
        <v>43</v>
      </c>
      <c r="D51" s="23">
        <f t="shared" si="1"/>
        <v>151.90199999999999</v>
      </c>
      <c r="E51" s="23">
        <f t="shared" si="2"/>
        <v>39.381999999999998</v>
      </c>
      <c r="F51" s="2">
        <f t="shared" si="7"/>
        <v>112.52</v>
      </c>
      <c r="G51" s="2">
        <f t="shared" si="8"/>
        <v>34.92</v>
      </c>
      <c r="H51" s="3">
        <v>77.599999999999994</v>
      </c>
      <c r="I51" s="3" t="s">
        <v>372</v>
      </c>
      <c r="J51" s="3" t="s">
        <v>230</v>
      </c>
      <c r="K51" s="7"/>
    </row>
    <row r="52" spans="1:11" ht="36" customHeight="1" x14ac:dyDescent="0.25">
      <c r="A52" s="7">
        <v>5</v>
      </c>
      <c r="B52" s="3" t="s">
        <v>48</v>
      </c>
      <c r="C52" s="3" t="s">
        <v>43</v>
      </c>
      <c r="D52" s="23">
        <f t="shared" si="1"/>
        <v>135.0675</v>
      </c>
      <c r="E52" s="23">
        <f t="shared" si="2"/>
        <v>35.017499999999998</v>
      </c>
      <c r="F52" s="2">
        <f t="shared" si="7"/>
        <v>100.05</v>
      </c>
      <c r="G52" s="2">
        <f t="shared" si="8"/>
        <v>31.05</v>
      </c>
      <c r="H52" s="3">
        <v>69</v>
      </c>
      <c r="I52" s="3" t="s">
        <v>372</v>
      </c>
      <c r="J52" s="3" t="s">
        <v>231</v>
      </c>
      <c r="K52" s="7"/>
    </row>
    <row r="53" spans="1:11" ht="36" customHeight="1" x14ac:dyDescent="0.25">
      <c r="A53" s="7">
        <v>6</v>
      </c>
      <c r="B53" s="3" t="s">
        <v>49</v>
      </c>
      <c r="C53" s="3" t="s">
        <v>43</v>
      </c>
      <c r="D53" s="23">
        <f t="shared" si="1"/>
        <v>147.98699999999999</v>
      </c>
      <c r="E53" s="23">
        <f t="shared" si="2"/>
        <v>38.366999999999997</v>
      </c>
      <c r="F53" s="2">
        <f t="shared" si="7"/>
        <v>109.61999999999999</v>
      </c>
      <c r="G53" s="2">
        <f t="shared" si="8"/>
        <v>34.019999999999996</v>
      </c>
      <c r="H53" s="3">
        <v>75.599999999999994</v>
      </c>
      <c r="I53" s="3" t="s">
        <v>372</v>
      </c>
      <c r="J53" s="3" t="s">
        <v>232</v>
      </c>
      <c r="K53" s="7"/>
    </row>
    <row r="54" spans="1:11" ht="36" customHeight="1" x14ac:dyDescent="0.25">
      <c r="A54" s="7">
        <v>7</v>
      </c>
      <c r="B54" s="3" t="s">
        <v>50</v>
      </c>
      <c r="C54" s="3" t="s">
        <v>43</v>
      </c>
      <c r="D54" s="23">
        <f t="shared" si="1"/>
        <v>140.94</v>
      </c>
      <c r="E54" s="23">
        <f t="shared" si="2"/>
        <v>36.54</v>
      </c>
      <c r="F54" s="2">
        <f t="shared" si="7"/>
        <v>104.4</v>
      </c>
      <c r="G54" s="2">
        <f t="shared" si="8"/>
        <v>32.4</v>
      </c>
      <c r="H54" s="3">
        <v>72</v>
      </c>
      <c r="I54" s="3" t="s">
        <v>372</v>
      </c>
      <c r="J54" s="3" t="s">
        <v>233</v>
      </c>
      <c r="K54" s="7"/>
    </row>
    <row r="55" spans="1:11" ht="36" customHeight="1" x14ac:dyDescent="0.25">
      <c r="A55" s="7">
        <v>8</v>
      </c>
      <c r="B55" s="3" t="s">
        <v>51</v>
      </c>
      <c r="C55" s="3" t="s">
        <v>43</v>
      </c>
      <c r="D55" s="23">
        <f t="shared" si="1"/>
        <v>151.90199999999999</v>
      </c>
      <c r="E55" s="23">
        <f t="shared" si="2"/>
        <v>39.381999999999998</v>
      </c>
      <c r="F55" s="2">
        <f t="shared" si="7"/>
        <v>112.52</v>
      </c>
      <c r="G55" s="2">
        <f t="shared" si="8"/>
        <v>34.92</v>
      </c>
      <c r="H55" s="3">
        <v>77.599999999999994</v>
      </c>
      <c r="I55" s="3" t="s">
        <v>372</v>
      </c>
      <c r="J55" s="3" t="s">
        <v>234</v>
      </c>
      <c r="K55" s="7"/>
    </row>
    <row r="56" spans="1:11" ht="36" customHeight="1" x14ac:dyDescent="0.25">
      <c r="A56" s="7">
        <v>9</v>
      </c>
      <c r="B56" s="3" t="s">
        <v>52</v>
      </c>
      <c r="C56" s="3" t="s">
        <v>43</v>
      </c>
      <c r="D56" s="23">
        <f t="shared" si="1"/>
        <v>147.98699999999999</v>
      </c>
      <c r="E56" s="23">
        <f t="shared" si="2"/>
        <v>38.366999999999997</v>
      </c>
      <c r="F56" s="2">
        <f t="shared" si="7"/>
        <v>109.61999999999999</v>
      </c>
      <c r="G56" s="2">
        <f t="shared" si="8"/>
        <v>34.019999999999996</v>
      </c>
      <c r="H56" s="3">
        <v>75.599999999999994</v>
      </c>
      <c r="I56" s="3" t="s">
        <v>372</v>
      </c>
      <c r="J56" s="3" t="s">
        <v>235</v>
      </c>
      <c r="K56" s="7"/>
    </row>
    <row r="57" spans="1:11" ht="36" customHeight="1" x14ac:dyDescent="0.25">
      <c r="A57" s="7">
        <v>10</v>
      </c>
      <c r="B57" s="3" t="s">
        <v>53</v>
      </c>
      <c r="C57" s="3" t="s">
        <v>43</v>
      </c>
      <c r="D57" s="23">
        <f t="shared" si="1"/>
        <v>151.90199999999999</v>
      </c>
      <c r="E57" s="23">
        <f t="shared" si="2"/>
        <v>39.381999999999998</v>
      </c>
      <c r="F57" s="2">
        <f t="shared" si="7"/>
        <v>112.52</v>
      </c>
      <c r="G57" s="2">
        <f t="shared" si="8"/>
        <v>34.92</v>
      </c>
      <c r="H57" s="3">
        <v>77.599999999999994</v>
      </c>
      <c r="I57" s="3" t="s">
        <v>372</v>
      </c>
      <c r="J57" s="3" t="s">
        <v>236</v>
      </c>
      <c r="K57" s="7"/>
    </row>
    <row r="58" spans="1:11" ht="36" customHeight="1" x14ac:dyDescent="0.25">
      <c r="A58" s="5">
        <v>4</v>
      </c>
      <c r="B58" s="1" t="s">
        <v>54</v>
      </c>
      <c r="C58" s="1" t="s">
        <v>103</v>
      </c>
      <c r="D58" s="1" t="s">
        <v>104</v>
      </c>
      <c r="E58" s="1" t="s">
        <v>104</v>
      </c>
      <c r="F58" s="1" t="s">
        <v>104</v>
      </c>
      <c r="G58" s="1" t="s">
        <v>104</v>
      </c>
      <c r="H58" s="1" t="s">
        <v>104</v>
      </c>
      <c r="I58" s="1" t="s">
        <v>102</v>
      </c>
      <c r="J58" s="1" t="s">
        <v>237</v>
      </c>
      <c r="K58" s="5">
        <v>18</v>
      </c>
    </row>
    <row r="59" spans="1:11" ht="36" customHeight="1" x14ac:dyDescent="0.25">
      <c r="A59" s="7">
        <v>1</v>
      </c>
      <c r="B59" s="3" t="s">
        <v>55</v>
      </c>
      <c r="C59" s="3" t="s">
        <v>611</v>
      </c>
      <c r="D59" s="23">
        <f t="shared" si="1"/>
        <v>200.25224999999998</v>
      </c>
      <c r="E59" s="23">
        <f t="shared" si="2"/>
        <v>51.917249999999989</v>
      </c>
      <c r="F59" s="2">
        <f t="shared" ref="F59:F67" si="9">+G59+H59</f>
        <v>148.33499999999998</v>
      </c>
      <c r="G59" s="2">
        <f t="shared" ref="G59:G82" si="10">+H59*45%</f>
        <v>46.034999999999997</v>
      </c>
      <c r="H59" s="3">
        <v>102.3</v>
      </c>
      <c r="I59" s="3" t="s">
        <v>374</v>
      </c>
      <c r="J59" s="3" t="s">
        <v>238</v>
      </c>
      <c r="K59" s="7"/>
    </row>
    <row r="60" spans="1:11" ht="36" customHeight="1" x14ac:dyDescent="0.25">
      <c r="A60" s="7">
        <v>2</v>
      </c>
      <c r="B60" s="3" t="s">
        <v>56</v>
      </c>
      <c r="C60" s="3" t="s">
        <v>610</v>
      </c>
      <c r="D60" s="23">
        <f t="shared" si="1"/>
        <v>182.43900000000002</v>
      </c>
      <c r="E60" s="23">
        <f t="shared" si="2"/>
        <v>47.298999999999999</v>
      </c>
      <c r="F60" s="2">
        <f t="shared" si="9"/>
        <v>135.14000000000001</v>
      </c>
      <c r="G60" s="2">
        <f t="shared" si="10"/>
        <v>41.940000000000005</v>
      </c>
      <c r="H60" s="3">
        <v>93.2</v>
      </c>
      <c r="I60" s="3" t="s">
        <v>373</v>
      </c>
      <c r="J60" s="3" t="s">
        <v>239</v>
      </c>
      <c r="K60" s="7"/>
    </row>
    <row r="61" spans="1:11" ht="36" customHeight="1" x14ac:dyDescent="0.25">
      <c r="A61" s="7">
        <v>3</v>
      </c>
      <c r="B61" s="3" t="s">
        <v>57</v>
      </c>
      <c r="C61" s="3" t="s">
        <v>609</v>
      </c>
      <c r="D61" s="23">
        <f t="shared" si="1"/>
        <v>182.43900000000002</v>
      </c>
      <c r="E61" s="23">
        <f t="shared" si="2"/>
        <v>47.298999999999999</v>
      </c>
      <c r="F61" s="2">
        <f t="shared" si="9"/>
        <v>135.14000000000001</v>
      </c>
      <c r="G61" s="2">
        <f t="shared" si="10"/>
        <v>41.940000000000005</v>
      </c>
      <c r="H61" s="3">
        <v>93.2</v>
      </c>
      <c r="I61" s="3" t="s">
        <v>375</v>
      </c>
      <c r="J61" s="3" t="s">
        <v>240</v>
      </c>
      <c r="K61" s="7"/>
    </row>
    <row r="62" spans="1:11" ht="36" customHeight="1" x14ac:dyDescent="0.25">
      <c r="A62" s="7">
        <v>4</v>
      </c>
      <c r="B62" s="3" t="s">
        <v>58</v>
      </c>
      <c r="C62" s="3" t="s">
        <v>608</v>
      </c>
      <c r="D62" s="23">
        <f t="shared" si="1"/>
        <v>182.43900000000002</v>
      </c>
      <c r="E62" s="23">
        <f t="shared" si="2"/>
        <v>47.298999999999999</v>
      </c>
      <c r="F62" s="2">
        <f t="shared" si="9"/>
        <v>135.14000000000001</v>
      </c>
      <c r="G62" s="2">
        <f t="shared" si="10"/>
        <v>41.940000000000005</v>
      </c>
      <c r="H62" s="3">
        <v>93.2</v>
      </c>
      <c r="I62" s="3" t="s">
        <v>376</v>
      </c>
      <c r="J62" s="3" t="s">
        <v>241</v>
      </c>
      <c r="K62" s="7"/>
    </row>
    <row r="63" spans="1:11" ht="36" customHeight="1" x14ac:dyDescent="0.25">
      <c r="A63" s="7">
        <v>5</v>
      </c>
      <c r="B63" s="3" t="s">
        <v>602</v>
      </c>
      <c r="C63" s="3" t="s">
        <v>607</v>
      </c>
      <c r="D63" s="23">
        <f t="shared" si="1"/>
        <v>182.43900000000002</v>
      </c>
      <c r="E63" s="23">
        <f t="shared" si="2"/>
        <v>47.298999999999999</v>
      </c>
      <c r="F63" s="2">
        <f t="shared" si="9"/>
        <v>135.14000000000001</v>
      </c>
      <c r="G63" s="2">
        <f t="shared" si="10"/>
        <v>41.940000000000005</v>
      </c>
      <c r="H63" s="3">
        <v>93.2</v>
      </c>
      <c r="I63" s="3" t="s">
        <v>377</v>
      </c>
      <c r="J63" s="3" t="s">
        <v>242</v>
      </c>
      <c r="K63" s="7"/>
    </row>
    <row r="64" spans="1:11" ht="36" customHeight="1" x14ac:dyDescent="0.25">
      <c r="A64" s="7">
        <v>6</v>
      </c>
      <c r="B64" s="3" t="s">
        <v>59</v>
      </c>
      <c r="C64" s="3" t="s">
        <v>606</v>
      </c>
      <c r="D64" s="23">
        <f t="shared" si="1"/>
        <v>200.25224999999998</v>
      </c>
      <c r="E64" s="23">
        <f t="shared" si="2"/>
        <v>51.917249999999989</v>
      </c>
      <c r="F64" s="2">
        <f t="shared" si="9"/>
        <v>148.33499999999998</v>
      </c>
      <c r="G64" s="2">
        <f t="shared" si="10"/>
        <v>46.034999999999997</v>
      </c>
      <c r="H64" s="3">
        <v>102.3</v>
      </c>
      <c r="I64" s="3" t="s">
        <v>378</v>
      </c>
      <c r="J64" s="3" t="s">
        <v>243</v>
      </c>
      <c r="K64" s="7"/>
    </row>
    <row r="65" spans="1:11" ht="36" customHeight="1" x14ac:dyDescent="0.25">
      <c r="A65" s="7">
        <v>7</v>
      </c>
      <c r="B65" s="3" t="s">
        <v>60</v>
      </c>
      <c r="C65" s="3" t="s">
        <v>605</v>
      </c>
      <c r="D65" s="23">
        <f t="shared" si="1"/>
        <v>200.25224999999998</v>
      </c>
      <c r="E65" s="23">
        <f t="shared" si="2"/>
        <v>51.917249999999989</v>
      </c>
      <c r="F65" s="2">
        <f t="shared" si="9"/>
        <v>148.33499999999998</v>
      </c>
      <c r="G65" s="2">
        <f t="shared" si="10"/>
        <v>46.034999999999997</v>
      </c>
      <c r="H65" s="3">
        <v>102.3</v>
      </c>
      <c r="I65" s="3" t="s">
        <v>380</v>
      </c>
      <c r="J65" s="3" t="s">
        <v>244</v>
      </c>
      <c r="K65" s="7"/>
    </row>
    <row r="66" spans="1:11" ht="36" customHeight="1" x14ac:dyDescent="0.25">
      <c r="A66" s="7">
        <v>8</v>
      </c>
      <c r="B66" s="3" t="s">
        <v>61</v>
      </c>
      <c r="C66" s="3" t="s">
        <v>604</v>
      </c>
      <c r="D66" s="23">
        <f t="shared" si="1"/>
        <v>182.43900000000002</v>
      </c>
      <c r="E66" s="23">
        <f t="shared" si="2"/>
        <v>47.298999999999999</v>
      </c>
      <c r="F66" s="2">
        <f t="shared" si="9"/>
        <v>135.14000000000001</v>
      </c>
      <c r="G66" s="2">
        <f t="shared" si="10"/>
        <v>41.940000000000005</v>
      </c>
      <c r="H66" s="3">
        <v>93.2</v>
      </c>
      <c r="I66" s="3" t="s">
        <v>379</v>
      </c>
      <c r="J66" s="3" t="s">
        <v>245</v>
      </c>
      <c r="K66" s="7"/>
    </row>
    <row r="67" spans="1:11" ht="36" customHeight="1" x14ac:dyDescent="0.25">
      <c r="A67" s="7">
        <v>9</v>
      </c>
      <c r="B67" s="3" t="s">
        <v>612</v>
      </c>
      <c r="C67" s="3" t="s">
        <v>603</v>
      </c>
      <c r="D67" s="23">
        <f t="shared" si="1"/>
        <v>182.43900000000002</v>
      </c>
      <c r="E67" s="23">
        <f t="shared" si="2"/>
        <v>47.298999999999999</v>
      </c>
      <c r="F67" s="2">
        <f t="shared" si="9"/>
        <v>135.14000000000001</v>
      </c>
      <c r="G67" s="2">
        <f t="shared" si="10"/>
        <v>41.940000000000005</v>
      </c>
      <c r="H67" s="3">
        <v>93.2</v>
      </c>
      <c r="I67" s="3" t="s">
        <v>381</v>
      </c>
      <c r="J67" s="3" t="s">
        <v>246</v>
      </c>
      <c r="K67" s="7"/>
    </row>
    <row r="68" spans="1:11" ht="36" hidden="1" customHeight="1" x14ac:dyDescent="0.25">
      <c r="A68" s="7">
        <v>10</v>
      </c>
      <c r="B68" s="3"/>
      <c r="C68" s="3"/>
      <c r="D68" s="23">
        <f t="shared" si="1"/>
        <v>0</v>
      </c>
      <c r="E68" s="23">
        <f t="shared" si="2"/>
        <v>0</v>
      </c>
      <c r="F68" s="2"/>
      <c r="G68" s="2">
        <f t="shared" si="10"/>
        <v>53.414999999999999</v>
      </c>
      <c r="H68" s="3">
        <v>118.7</v>
      </c>
      <c r="I68" s="3" t="s">
        <v>382</v>
      </c>
      <c r="J68" s="2" t="s">
        <v>504</v>
      </c>
      <c r="K68" s="7"/>
    </row>
    <row r="69" spans="1:11" ht="36" customHeight="1" x14ac:dyDescent="0.25">
      <c r="A69" s="5">
        <v>5</v>
      </c>
      <c r="B69" s="1" t="s">
        <v>75</v>
      </c>
      <c r="C69" s="1" t="s">
        <v>103</v>
      </c>
      <c r="D69" s="1" t="s">
        <v>104</v>
      </c>
      <c r="E69" s="1" t="s">
        <v>104</v>
      </c>
      <c r="F69" s="1" t="s">
        <v>104</v>
      </c>
      <c r="G69" s="1" t="s">
        <v>104</v>
      </c>
      <c r="H69" s="1" t="s">
        <v>104</v>
      </c>
      <c r="I69" s="1" t="s">
        <v>102</v>
      </c>
      <c r="J69" s="1" t="s">
        <v>247</v>
      </c>
      <c r="K69" s="5">
        <v>19</v>
      </c>
    </row>
    <row r="70" spans="1:11" ht="36" customHeight="1" x14ac:dyDescent="0.25">
      <c r="A70" s="7">
        <v>1</v>
      </c>
      <c r="B70" s="3" t="s">
        <v>613</v>
      </c>
      <c r="C70" s="3" t="s">
        <v>625</v>
      </c>
      <c r="D70" s="23">
        <f t="shared" si="1"/>
        <v>188.73000000000002</v>
      </c>
      <c r="E70" s="23">
        <f t="shared" si="2"/>
        <v>48.93</v>
      </c>
      <c r="F70" s="2">
        <f t="shared" ref="F70:F81" si="11">+G70+H70</f>
        <v>139.80000000000001</v>
      </c>
      <c r="G70" s="2">
        <f>+H70*50%</f>
        <v>46.6</v>
      </c>
      <c r="H70" s="3">
        <v>93.2</v>
      </c>
      <c r="I70" s="3" t="s">
        <v>384</v>
      </c>
      <c r="J70" s="3" t="s">
        <v>228</v>
      </c>
      <c r="K70" s="7"/>
    </row>
    <row r="71" spans="1:11" ht="36" customHeight="1" x14ac:dyDescent="0.25">
      <c r="A71" s="7">
        <v>2</v>
      </c>
      <c r="B71" s="3" t="s">
        <v>614</v>
      </c>
      <c r="C71" s="3" t="s">
        <v>626</v>
      </c>
      <c r="D71" s="23">
        <f t="shared" si="1"/>
        <v>188.73000000000002</v>
      </c>
      <c r="E71" s="23">
        <f t="shared" si="2"/>
        <v>48.93</v>
      </c>
      <c r="F71" s="2">
        <f t="shared" si="11"/>
        <v>139.80000000000001</v>
      </c>
      <c r="G71" s="2">
        <f t="shared" ref="G71:G81" si="12">+H71*50%</f>
        <v>46.6</v>
      </c>
      <c r="H71" s="3">
        <v>93.2</v>
      </c>
      <c r="I71" s="3" t="s">
        <v>383</v>
      </c>
      <c r="J71" s="3" t="s">
        <v>233</v>
      </c>
      <c r="K71" s="7"/>
    </row>
    <row r="72" spans="1:11" ht="36" customHeight="1" x14ac:dyDescent="0.25">
      <c r="A72" s="7">
        <v>3</v>
      </c>
      <c r="B72" s="3" t="s">
        <v>615</v>
      </c>
      <c r="C72" s="3" t="s">
        <v>627</v>
      </c>
      <c r="D72" s="23">
        <f t="shared" si="1"/>
        <v>188.73000000000002</v>
      </c>
      <c r="E72" s="23">
        <f t="shared" si="2"/>
        <v>48.93</v>
      </c>
      <c r="F72" s="2">
        <f t="shared" si="11"/>
        <v>139.80000000000001</v>
      </c>
      <c r="G72" s="2">
        <f t="shared" si="12"/>
        <v>46.6</v>
      </c>
      <c r="H72" s="3">
        <v>93.2</v>
      </c>
      <c r="I72" s="3" t="s">
        <v>385</v>
      </c>
      <c r="J72" s="3" t="s">
        <v>231</v>
      </c>
      <c r="K72" s="7"/>
    </row>
    <row r="73" spans="1:11" ht="36" customHeight="1" x14ac:dyDescent="0.25">
      <c r="A73" s="7">
        <v>4</v>
      </c>
      <c r="B73" s="3" t="s">
        <v>616</v>
      </c>
      <c r="C73" s="3" t="s">
        <v>628</v>
      </c>
      <c r="D73" s="23">
        <f t="shared" si="1"/>
        <v>188.73000000000002</v>
      </c>
      <c r="E73" s="23">
        <f t="shared" si="2"/>
        <v>48.93</v>
      </c>
      <c r="F73" s="2">
        <f t="shared" si="11"/>
        <v>139.80000000000001</v>
      </c>
      <c r="G73" s="2">
        <f t="shared" si="12"/>
        <v>46.6</v>
      </c>
      <c r="H73" s="3">
        <v>93.2</v>
      </c>
      <c r="I73" s="3" t="s">
        <v>386</v>
      </c>
      <c r="J73" s="3" t="s">
        <v>248</v>
      </c>
      <c r="K73" s="7"/>
    </row>
    <row r="74" spans="1:11" ht="36" customHeight="1" x14ac:dyDescent="0.25">
      <c r="A74" s="7">
        <v>5</v>
      </c>
      <c r="B74" s="3" t="s">
        <v>617</v>
      </c>
      <c r="C74" s="3" t="s">
        <v>629</v>
      </c>
      <c r="D74" s="23">
        <f t="shared" si="1"/>
        <v>188.73000000000002</v>
      </c>
      <c r="E74" s="23">
        <f t="shared" si="2"/>
        <v>48.93</v>
      </c>
      <c r="F74" s="2">
        <f t="shared" si="11"/>
        <v>139.80000000000001</v>
      </c>
      <c r="G74" s="2">
        <f t="shared" si="12"/>
        <v>46.6</v>
      </c>
      <c r="H74" s="3">
        <v>93.2</v>
      </c>
      <c r="I74" s="3" t="s">
        <v>387</v>
      </c>
      <c r="J74" s="3" t="s">
        <v>249</v>
      </c>
      <c r="K74" s="7"/>
    </row>
    <row r="75" spans="1:11" ht="36" customHeight="1" x14ac:dyDescent="0.25">
      <c r="A75" s="7">
        <v>6</v>
      </c>
      <c r="B75" s="3" t="s">
        <v>618</v>
      </c>
      <c r="C75" s="3" t="s">
        <v>630</v>
      </c>
      <c r="D75" s="23">
        <f t="shared" si="1"/>
        <v>188.73000000000002</v>
      </c>
      <c r="E75" s="23">
        <f t="shared" si="2"/>
        <v>48.93</v>
      </c>
      <c r="F75" s="2">
        <f t="shared" si="11"/>
        <v>139.80000000000001</v>
      </c>
      <c r="G75" s="2">
        <f t="shared" si="12"/>
        <v>46.6</v>
      </c>
      <c r="H75" s="3">
        <v>93.2</v>
      </c>
      <c r="I75" s="3" t="s">
        <v>388</v>
      </c>
      <c r="J75" s="3" t="s">
        <v>230</v>
      </c>
      <c r="K75" s="7"/>
    </row>
    <row r="76" spans="1:11" ht="36" customHeight="1" x14ac:dyDescent="0.25">
      <c r="A76" s="7">
        <v>7</v>
      </c>
      <c r="B76" s="3" t="s">
        <v>619</v>
      </c>
      <c r="C76" s="3" t="s">
        <v>631</v>
      </c>
      <c r="D76" s="23">
        <f t="shared" si="1"/>
        <v>188.73000000000002</v>
      </c>
      <c r="E76" s="23">
        <f t="shared" si="2"/>
        <v>48.93</v>
      </c>
      <c r="F76" s="2">
        <f t="shared" si="11"/>
        <v>139.80000000000001</v>
      </c>
      <c r="G76" s="2">
        <f t="shared" si="12"/>
        <v>46.6</v>
      </c>
      <c r="H76" s="3">
        <v>93.2</v>
      </c>
      <c r="I76" s="3" t="s">
        <v>389</v>
      </c>
      <c r="J76" s="3" t="s">
        <v>234</v>
      </c>
      <c r="K76" s="7"/>
    </row>
    <row r="77" spans="1:11" ht="36" customHeight="1" x14ac:dyDescent="0.25">
      <c r="A77" s="7">
        <v>8</v>
      </c>
      <c r="B77" s="3" t="s">
        <v>620</v>
      </c>
      <c r="C77" s="3" t="s">
        <v>632</v>
      </c>
      <c r="D77" s="23">
        <f t="shared" ref="D77:D135" si="13">+E77+F77</f>
        <v>207.15749999999997</v>
      </c>
      <c r="E77" s="23">
        <f t="shared" ref="E77:E143" si="14">+F77*35%</f>
        <v>53.707499999999996</v>
      </c>
      <c r="F77" s="2">
        <f t="shared" si="11"/>
        <v>153.44999999999999</v>
      </c>
      <c r="G77" s="2">
        <f t="shared" si="12"/>
        <v>51.15</v>
      </c>
      <c r="H77" s="3">
        <v>102.3</v>
      </c>
      <c r="I77" s="3" t="s">
        <v>390</v>
      </c>
      <c r="J77" s="3" t="s">
        <v>250</v>
      </c>
      <c r="K77" s="7"/>
    </row>
    <row r="78" spans="1:11" ht="36" customHeight="1" x14ac:dyDescent="0.25">
      <c r="A78" s="7">
        <v>9</v>
      </c>
      <c r="B78" s="3" t="s">
        <v>621</v>
      </c>
      <c r="C78" s="3" t="s">
        <v>633</v>
      </c>
      <c r="D78" s="23">
        <f t="shared" si="13"/>
        <v>188.73000000000002</v>
      </c>
      <c r="E78" s="23">
        <f t="shared" si="14"/>
        <v>48.93</v>
      </c>
      <c r="F78" s="2">
        <f t="shared" si="11"/>
        <v>139.80000000000001</v>
      </c>
      <c r="G78" s="2">
        <f t="shared" si="12"/>
        <v>46.6</v>
      </c>
      <c r="H78" s="3">
        <v>93.2</v>
      </c>
      <c r="I78" s="3" t="s">
        <v>391</v>
      </c>
      <c r="J78" s="3" t="s">
        <v>251</v>
      </c>
      <c r="K78" s="7"/>
    </row>
    <row r="79" spans="1:11" ht="36" customHeight="1" x14ac:dyDescent="0.25">
      <c r="A79" s="7">
        <v>10</v>
      </c>
      <c r="B79" s="3" t="s">
        <v>622</v>
      </c>
      <c r="C79" s="3" t="s">
        <v>634</v>
      </c>
      <c r="D79" s="23">
        <f t="shared" si="13"/>
        <v>188.73000000000002</v>
      </c>
      <c r="E79" s="23">
        <f t="shared" si="14"/>
        <v>48.93</v>
      </c>
      <c r="F79" s="2">
        <f t="shared" si="11"/>
        <v>139.80000000000001</v>
      </c>
      <c r="G79" s="2">
        <f t="shared" si="12"/>
        <v>46.6</v>
      </c>
      <c r="H79" s="3">
        <v>93.2</v>
      </c>
      <c r="I79" s="3" t="s">
        <v>392</v>
      </c>
      <c r="J79" s="3" t="s">
        <v>236</v>
      </c>
      <c r="K79" s="7"/>
    </row>
    <row r="80" spans="1:11" ht="36" customHeight="1" x14ac:dyDescent="0.25">
      <c r="A80" s="7">
        <v>11</v>
      </c>
      <c r="B80" s="3" t="s">
        <v>623</v>
      </c>
      <c r="C80" s="3" t="s">
        <v>635</v>
      </c>
      <c r="D80" s="23">
        <f t="shared" si="13"/>
        <v>199.66499999999996</v>
      </c>
      <c r="E80" s="23">
        <f t="shared" si="14"/>
        <v>51.764999999999986</v>
      </c>
      <c r="F80" s="2">
        <f t="shared" si="11"/>
        <v>147.89999999999998</v>
      </c>
      <c r="G80" s="2">
        <f t="shared" si="12"/>
        <v>49.3</v>
      </c>
      <c r="H80" s="3">
        <v>98.6</v>
      </c>
      <c r="I80" s="3" t="s">
        <v>393</v>
      </c>
      <c r="J80" s="3" t="s">
        <v>252</v>
      </c>
      <c r="K80" s="7"/>
    </row>
    <row r="81" spans="1:11" ht="36" customHeight="1" x14ac:dyDescent="0.25">
      <c r="A81" s="7">
        <v>12</v>
      </c>
      <c r="B81" s="3" t="s">
        <v>624</v>
      </c>
      <c r="C81" s="3" t="s">
        <v>636</v>
      </c>
      <c r="D81" s="23">
        <f t="shared" si="13"/>
        <v>199.66499999999996</v>
      </c>
      <c r="E81" s="23">
        <f t="shared" si="14"/>
        <v>51.764999999999986</v>
      </c>
      <c r="F81" s="2">
        <f t="shared" si="11"/>
        <v>147.89999999999998</v>
      </c>
      <c r="G81" s="2">
        <f t="shared" si="12"/>
        <v>49.3</v>
      </c>
      <c r="H81" s="3">
        <v>98.6</v>
      </c>
      <c r="I81" s="3" t="s">
        <v>395</v>
      </c>
      <c r="J81" s="3" t="s">
        <v>253</v>
      </c>
      <c r="K81" s="7"/>
    </row>
    <row r="82" spans="1:11" ht="36" hidden="1" customHeight="1" x14ac:dyDescent="0.25">
      <c r="A82" s="7"/>
      <c r="B82" s="3"/>
      <c r="C82" s="3"/>
      <c r="D82" s="23">
        <f t="shared" si="13"/>
        <v>0</v>
      </c>
      <c r="E82" s="23">
        <f t="shared" si="14"/>
        <v>0</v>
      </c>
      <c r="F82" s="2"/>
      <c r="G82" s="2">
        <f t="shared" si="10"/>
        <v>50.13</v>
      </c>
      <c r="H82" s="3">
        <v>111.4</v>
      </c>
      <c r="I82" s="3" t="s">
        <v>394</v>
      </c>
      <c r="J82" s="2" t="s">
        <v>504</v>
      </c>
      <c r="K82" s="7"/>
    </row>
    <row r="83" spans="1:11" ht="36" customHeight="1" x14ac:dyDescent="0.25">
      <c r="A83" s="5">
        <v>6</v>
      </c>
      <c r="B83" s="1" t="s">
        <v>80</v>
      </c>
      <c r="C83" s="1" t="s">
        <v>103</v>
      </c>
      <c r="D83" s="1" t="s">
        <v>104</v>
      </c>
      <c r="E83" s="1" t="s">
        <v>104</v>
      </c>
      <c r="F83" s="1" t="s">
        <v>104</v>
      </c>
      <c r="G83" s="1" t="s">
        <v>104</v>
      </c>
      <c r="H83" s="1" t="s">
        <v>104</v>
      </c>
      <c r="I83" s="1" t="s">
        <v>102</v>
      </c>
      <c r="J83" s="1" t="s">
        <v>254</v>
      </c>
      <c r="K83" s="5">
        <v>20</v>
      </c>
    </row>
    <row r="84" spans="1:11" ht="36" customHeight="1" x14ac:dyDescent="0.25">
      <c r="A84" s="6">
        <v>1</v>
      </c>
      <c r="B84" s="2" t="s">
        <v>119</v>
      </c>
      <c r="C84" s="2" t="s">
        <v>639</v>
      </c>
      <c r="D84" s="23">
        <f t="shared" si="13"/>
        <v>188.73000000000002</v>
      </c>
      <c r="E84" s="23">
        <f t="shared" si="14"/>
        <v>48.93</v>
      </c>
      <c r="F84" s="2">
        <f t="shared" ref="F84:F100" si="15">+G84+H84</f>
        <v>139.80000000000001</v>
      </c>
      <c r="G84" s="2">
        <f>+H84*50%</f>
        <v>46.6</v>
      </c>
      <c r="H84" s="2">
        <v>93.2</v>
      </c>
      <c r="I84" s="2" t="s">
        <v>397</v>
      </c>
      <c r="J84" s="2" t="s">
        <v>255</v>
      </c>
      <c r="K84" s="6"/>
    </row>
    <row r="85" spans="1:11" ht="36" customHeight="1" x14ac:dyDescent="0.25">
      <c r="A85" s="6">
        <v>2</v>
      </c>
      <c r="B85" s="2" t="s">
        <v>638</v>
      </c>
      <c r="C85" s="2" t="s">
        <v>640</v>
      </c>
      <c r="D85" s="23">
        <f t="shared" si="13"/>
        <v>188.73000000000002</v>
      </c>
      <c r="E85" s="23">
        <f t="shared" si="14"/>
        <v>48.93</v>
      </c>
      <c r="F85" s="2">
        <f t="shared" si="15"/>
        <v>139.80000000000001</v>
      </c>
      <c r="G85" s="2">
        <f t="shared" ref="G85:G100" si="16">+H85*50%</f>
        <v>46.6</v>
      </c>
      <c r="H85" s="2">
        <v>93.2</v>
      </c>
      <c r="I85" s="2" t="s">
        <v>398</v>
      </c>
      <c r="J85" s="2" t="s">
        <v>256</v>
      </c>
      <c r="K85" s="6"/>
    </row>
    <row r="86" spans="1:11" ht="36" customHeight="1" x14ac:dyDescent="0.25">
      <c r="A86" s="6">
        <v>3</v>
      </c>
      <c r="B86" s="2" t="s">
        <v>637</v>
      </c>
      <c r="C86" s="2" t="s">
        <v>641</v>
      </c>
      <c r="D86" s="23">
        <f t="shared" si="13"/>
        <v>188.73000000000002</v>
      </c>
      <c r="E86" s="23">
        <f t="shared" si="14"/>
        <v>48.93</v>
      </c>
      <c r="F86" s="2">
        <f t="shared" si="15"/>
        <v>139.80000000000001</v>
      </c>
      <c r="G86" s="2">
        <f t="shared" si="16"/>
        <v>46.6</v>
      </c>
      <c r="H86" s="2">
        <v>93.2</v>
      </c>
      <c r="I86" s="2" t="s">
        <v>399</v>
      </c>
      <c r="J86" s="2" t="s">
        <v>257</v>
      </c>
      <c r="K86" s="6"/>
    </row>
    <row r="87" spans="1:11" ht="36" customHeight="1" x14ac:dyDescent="0.25">
      <c r="A87" s="6">
        <v>4</v>
      </c>
      <c r="B87" s="2" t="s">
        <v>83</v>
      </c>
      <c r="C87" s="2" t="s">
        <v>647</v>
      </c>
      <c r="D87" s="23">
        <f t="shared" si="13"/>
        <v>217.08</v>
      </c>
      <c r="E87" s="23">
        <f t="shared" si="14"/>
        <v>56.28</v>
      </c>
      <c r="F87" s="2">
        <f t="shared" si="15"/>
        <v>160.80000000000001</v>
      </c>
      <c r="G87" s="2">
        <f t="shared" si="16"/>
        <v>53.6</v>
      </c>
      <c r="H87" s="2">
        <v>107.2</v>
      </c>
      <c r="I87" s="2" t="s">
        <v>400</v>
      </c>
      <c r="J87" s="2" t="s">
        <v>258</v>
      </c>
      <c r="K87" s="6"/>
    </row>
    <row r="88" spans="1:11" ht="36" customHeight="1" x14ac:dyDescent="0.25">
      <c r="A88" s="6">
        <v>5</v>
      </c>
      <c r="B88" s="2" t="s">
        <v>84</v>
      </c>
      <c r="C88" s="2" t="s">
        <v>648</v>
      </c>
      <c r="D88" s="23">
        <f t="shared" si="13"/>
        <v>217.08</v>
      </c>
      <c r="E88" s="23">
        <f t="shared" si="14"/>
        <v>56.28</v>
      </c>
      <c r="F88" s="2">
        <f t="shared" si="15"/>
        <v>160.80000000000001</v>
      </c>
      <c r="G88" s="2">
        <f t="shared" si="16"/>
        <v>53.6</v>
      </c>
      <c r="H88" s="2">
        <v>107.2</v>
      </c>
      <c r="I88" s="2" t="s">
        <v>401</v>
      </c>
      <c r="J88" s="2" t="s">
        <v>259</v>
      </c>
      <c r="K88" s="6"/>
    </row>
    <row r="89" spans="1:11" ht="36" customHeight="1" x14ac:dyDescent="0.25">
      <c r="A89" s="6">
        <v>6</v>
      </c>
      <c r="B89" s="2" t="s">
        <v>644</v>
      </c>
      <c r="C89" s="2" t="s">
        <v>649</v>
      </c>
      <c r="D89" s="23">
        <f t="shared" si="13"/>
        <v>217.08</v>
      </c>
      <c r="E89" s="23">
        <f t="shared" si="14"/>
        <v>56.28</v>
      </c>
      <c r="F89" s="2">
        <f t="shared" si="15"/>
        <v>160.80000000000001</v>
      </c>
      <c r="G89" s="2">
        <f t="shared" si="16"/>
        <v>53.6</v>
      </c>
      <c r="H89" s="2">
        <v>107.2</v>
      </c>
      <c r="I89" s="2" t="s">
        <v>402</v>
      </c>
      <c r="J89" s="2" t="s">
        <v>260</v>
      </c>
      <c r="K89" s="6"/>
    </row>
    <row r="90" spans="1:11" ht="36" customHeight="1" x14ac:dyDescent="0.25">
      <c r="A90" s="6">
        <v>7</v>
      </c>
      <c r="B90" s="2" t="s">
        <v>85</v>
      </c>
      <c r="C90" s="2" t="s">
        <v>650</v>
      </c>
      <c r="D90" s="23">
        <f t="shared" si="13"/>
        <v>238.3425</v>
      </c>
      <c r="E90" s="23">
        <f t="shared" si="14"/>
        <v>61.792499999999997</v>
      </c>
      <c r="F90" s="2">
        <f t="shared" si="15"/>
        <v>176.55</v>
      </c>
      <c r="G90" s="2">
        <f t="shared" si="16"/>
        <v>58.85</v>
      </c>
      <c r="H90" s="2">
        <v>117.7</v>
      </c>
      <c r="I90" s="2" t="s">
        <v>403</v>
      </c>
      <c r="J90" s="2" t="s">
        <v>261</v>
      </c>
      <c r="K90" s="6"/>
    </row>
    <row r="91" spans="1:11" ht="36" customHeight="1" x14ac:dyDescent="0.25">
      <c r="A91" s="6">
        <v>8</v>
      </c>
      <c r="B91" s="2" t="s">
        <v>86</v>
      </c>
      <c r="C91" s="2" t="s">
        <v>651</v>
      </c>
      <c r="D91" s="23">
        <f t="shared" si="13"/>
        <v>238.3425</v>
      </c>
      <c r="E91" s="23">
        <f t="shared" si="14"/>
        <v>61.792499999999997</v>
      </c>
      <c r="F91" s="2">
        <f t="shared" si="15"/>
        <v>176.55</v>
      </c>
      <c r="G91" s="2">
        <f t="shared" si="16"/>
        <v>58.85</v>
      </c>
      <c r="H91" s="2">
        <v>117.7</v>
      </c>
      <c r="I91" s="2" t="s">
        <v>404</v>
      </c>
      <c r="J91" s="2" t="s">
        <v>262</v>
      </c>
      <c r="K91" s="6"/>
    </row>
    <row r="92" spans="1:11" ht="36" customHeight="1" x14ac:dyDescent="0.25">
      <c r="A92" s="6">
        <v>9</v>
      </c>
      <c r="B92" s="2" t="s">
        <v>488</v>
      </c>
      <c r="C92" s="2" t="s">
        <v>646</v>
      </c>
      <c r="D92" s="23">
        <f t="shared" si="13"/>
        <v>201.48750000000001</v>
      </c>
      <c r="E92" s="23">
        <f t="shared" si="14"/>
        <v>52.237499999999997</v>
      </c>
      <c r="F92" s="2">
        <f t="shared" si="15"/>
        <v>149.25</v>
      </c>
      <c r="G92" s="2">
        <f t="shared" si="16"/>
        <v>49.75</v>
      </c>
      <c r="H92" s="2">
        <v>99.5</v>
      </c>
      <c r="I92" s="2" t="s">
        <v>489</v>
      </c>
      <c r="J92" s="2" t="s">
        <v>489</v>
      </c>
      <c r="K92" s="6"/>
    </row>
    <row r="93" spans="1:11" ht="36" customHeight="1" x14ac:dyDescent="0.25">
      <c r="A93" s="6">
        <v>10</v>
      </c>
      <c r="B93" s="3" t="s">
        <v>645</v>
      </c>
      <c r="C93" s="3" t="s">
        <v>645</v>
      </c>
      <c r="D93" s="23">
        <f t="shared" si="13"/>
        <v>217.88999999999996</v>
      </c>
      <c r="E93" s="23">
        <f t="shared" si="14"/>
        <v>56.489999999999988</v>
      </c>
      <c r="F93" s="2">
        <f t="shared" si="15"/>
        <v>161.39999999999998</v>
      </c>
      <c r="G93" s="2">
        <f t="shared" si="16"/>
        <v>53.8</v>
      </c>
      <c r="H93" s="3">
        <v>107.6</v>
      </c>
      <c r="I93" s="3"/>
      <c r="J93" s="3" t="s">
        <v>223</v>
      </c>
      <c r="K93" s="7"/>
    </row>
    <row r="94" spans="1:11" ht="36" customHeight="1" x14ac:dyDescent="0.25">
      <c r="A94" s="6">
        <v>11</v>
      </c>
      <c r="B94" s="2" t="s">
        <v>642</v>
      </c>
      <c r="C94" s="2" t="s">
        <v>643</v>
      </c>
      <c r="D94" s="23">
        <f t="shared" si="13"/>
        <v>279.04500000000002</v>
      </c>
      <c r="E94" s="23">
        <f t="shared" si="14"/>
        <v>72.344999999999999</v>
      </c>
      <c r="F94" s="2">
        <f t="shared" si="15"/>
        <v>206.70000000000002</v>
      </c>
      <c r="G94" s="2">
        <f t="shared" si="16"/>
        <v>68.900000000000006</v>
      </c>
      <c r="H94" s="2">
        <v>137.80000000000001</v>
      </c>
      <c r="I94" s="2" t="s">
        <v>405</v>
      </c>
      <c r="J94" s="2" t="s">
        <v>263</v>
      </c>
      <c r="K94" s="6"/>
    </row>
    <row r="95" spans="1:11" ht="36" customHeight="1" x14ac:dyDescent="0.25">
      <c r="A95" s="6">
        <v>12</v>
      </c>
      <c r="B95" s="2" t="s">
        <v>87</v>
      </c>
      <c r="C95" s="2" t="s">
        <v>456</v>
      </c>
      <c r="D95" s="23">
        <f t="shared" si="13"/>
        <v>279.04500000000002</v>
      </c>
      <c r="E95" s="23">
        <f t="shared" si="14"/>
        <v>72.344999999999999</v>
      </c>
      <c r="F95" s="2">
        <f t="shared" si="15"/>
        <v>206.70000000000002</v>
      </c>
      <c r="G95" s="2">
        <f t="shared" si="16"/>
        <v>68.900000000000006</v>
      </c>
      <c r="H95" s="2">
        <v>137.80000000000001</v>
      </c>
      <c r="I95" s="2" t="s">
        <v>406</v>
      </c>
      <c r="J95" s="2" t="s">
        <v>264</v>
      </c>
      <c r="K95" s="6"/>
    </row>
    <row r="96" spans="1:11" ht="36" customHeight="1" x14ac:dyDescent="0.25">
      <c r="A96" s="6">
        <v>13</v>
      </c>
      <c r="B96" s="2" t="s">
        <v>88</v>
      </c>
      <c r="C96" s="2" t="s">
        <v>457</v>
      </c>
      <c r="D96" s="23">
        <f t="shared" si="13"/>
        <v>279.04500000000002</v>
      </c>
      <c r="E96" s="23">
        <f t="shared" si="14"/>
        <v>72.344999999999999</v>
      </c>
      <c r="F96" s="2">
        <f t="shared" si="15"/>
        <v>206.70000000000002</v>
      </c>
      <c r="G96" s="2">
        <f t="shared" si="16"/>
        <v>68.900000000000006</v>
      </c>
      <c r="H96" s="2">
        <v>137.80000000000001</v>
      </c>
      <c r="I96" s="2" t="s">
        <v>407</v>
      </c>
      <c r="J96" s="2" t="s">
        <v>265</v>
      </c>
      <c r="K96" s="6"/>
    </row>
    <row r="97" spans="1:11" ht="36" customHeight="1" x14ac:dyDescent="0.25">
      <c r="A97" s="6">
        <v>14</v>
      </c>
      <c r="B97" s="2" t="s">
        <v>89</v>
      </c>
      <c r="C97" s="2" t="s">
        <v>458</v>
      </c>
      <c r="D97" s="23">
        <f t="shared" si="13"/>
        <v>279.04500000000002</v>
      </c>
      <c r="E97" s="23">
        <f t="shared" si="14"/>
        <v>72.344999999999999</v>
      </c>
      <c r="F97" s="2">
        <f t="shared" si="15"/>
        <v>206.70000000000002</v>
      </c>
      <c r="G97" s="2">
        <f t="shared" si="16"/>
        <v>68.900000000000006</v>
      </c>
      <c r="H97" s="2">
        <v>137.80000000000001</v>
      </c>
      <c r="I97" s="2" t="s">
        <v>408</v>
      </c>
      <c r="J97" s="2" t="s">
        <v>266</v>
      </c>
      <c r="K97" s="6"/>
    </row>
    <row r="98" spans="1:11" ht="36" customHeight="1" x14ac:dyDescent="0.25">
      <c r="A98" s="6">
        <v>15</v>
      </c>
      <c r="B98" s="2" t="s">
        <v>509</v>
      </c>
      <c r="C98" s="2" t="s">
        <v>513</v>
      </c>
      <c r="D98" s="23">
        <f t="shared" si="13"/>
        <v>157.94999999999999</v>
      </c>
      <c r="E98" s="23">
        <f t="shared" si="14"/>
        <v>40.949999999999996</v>
      </c>
      <c r="F98" s="2">
        <f t="shared" si="15"/>
        <v>117</v>
      </c>
      <c r="G98" s="2">
        <f t="shared" si="16"/>
        <v>39</v>
      </c>
      <c r="H98" s="2">
        <v>78</v>
      </c>
      <c r="I98" s="2" t="s">
        <v>267</v>
      </c>
      <c r="J98" s="2" t="s">
        <v>511</v>
      </c>
      <c r="K98" s="6"/>
    </row>
    <row r="99" spans="1:11" ht="36" customHeight="1" x14ac:dyDescent="0.25">
      <c r="A99" s="6">
        <v>16</v>
      </c>
      <c r="B99" s="2" t="s">
        <v>510</v>
      </c>
      <c r="C99" s="2" t="s">
        <v>514</v>
      </c>
      <c r="D99" s="23">
        <f t="shared" si="13"/>
        <v>213.83999999999997</v>
      </c>
      <c r="E99" s="23">
        <f t="shared" si="14"/>
        <v>55.439999999999991</v>
      </c>
      <c r="F99" s="2">
        <f t="shared" si="15"/>
        <v>158.39999999999998</v>
      </c>
      <c r="G99" s="2">
        <f t="shared" si="16"/>
        <v>52.8</v>
      </c>
      <c r="H99" s="2">
        <v>105.6</v>
      </c>
      <c r="I99" s="2" t="s">
        <v>267</v>
      </c>
      <c r="J99" s="2" t="s">
        <v>512</v>
      </c>
      <c r="K99" s="6"/>
    </row>
    <row r="100" spans="1:11" ht="36" customHeight="1" x14ac:dyDescent="0.25">
      <c r="A100" s="6">
        <v>17</v>
      </c>
      <c r="B100" s="2" t="s">
        <v>515</v>
      </c>
      <c r="C100" s="2" t="s">
        <v>459</v>
      </c>
      <c r="D100" s="23">
        <f t="shared" si="13"/>
        <v>279.04500000000002</v>
      </c>
      <c r="E100" s="23">
        <f t="shared" si="14"/>
        <v>72.344999999999999</v>
      </c>
      <c r="F100" s="2">
        <f t="shared" si="15"/>
        <v>206.70000000000002</v>
      </c>
      <c r="G100" s="2">
        <f t="shared" si="16"/>
        <v>68.900000000000006</v>
      </c>
      <c r="H100" s="2">
        <v>137.80000000000001</v>
      </c>
      <c r="I100" s="2" t="s">
        <v>396</v>
      </c>
      <c r="J100" s="2" t="s">
        <v>504</v>
      </c>
      <c r="K100" s="6"/>
    </row>
    <row r="101" spans="1:11" ht="36" customHeight="1" x14ac:dyDescent="0.25">
      <c r="A101" s="5">
        <v>7</v>
      </c>
      <c r="B101" s="1" t="s">
        <v>62</v>
      </c>
      <c r="C101" s="1" t="s">
        <v>103</v>
      </c>
      <c r="D101" s="1" t="s">
        <v>104</v>
      </c>
      <c r="E101" s="1" t="s">
        <v>104</v>
      </c>
      <c r="F101" s="1" t="s">
        <v>104</v>
      </c>
      <c r="G101" s="1" t="s">
        <v>104</v>
      </c>
      <c r="H101" s="1" t="s">
        <v>104</v>
      </c>
      <c r="I101" s="1" t="s">
        <v>102</v>
      </c>
      <c r="J101" s="1" t="s">
        <v>268</v>
      </c>
      <c r="K101" s="5">
        <v>21</v>
      </c>
    </row>
    <row r="102" spans="1:11" ht="36" customHeight="1" x14ac:dyDescent="0.25">
      <c r="A102" s="7">
        <v>1</v>
      </c>
      <c r="B102" s="3" t="s">
        <v>63</v>
      </c>
      <c r="C102" s="3" t="s">
        <v>460</v>
      </c>
      <c r="D102" s="23">
        <f t="shared" si="13"/>
        <v>195.00749999999999</v>
      </c>
      <c r="E102" s="23">
        <f t="shared" si="14"/>
        <v>50.55749999999999</v>
      </c>
      <c r="F102" s="2">
        <f t="shared" ref="F102:F108" si="17">+G102+H102</f>
        <v>144.44999999999999</v>
      </c>
      <c r="G102" s="2">
        <f>+H102*50%</f>
        <v>48.15</v>
      </c>
      <c r="H102" s="3">
        <v>96.3</v>
      </c>
      <c r="I102" s="3" t="s">
        <v>411</v>
      </c>
      <c r="J102" s="3" t="s">
        <v>269</v>
      </c>
      <c r="K102" s="7"/>
    </row>
    <row r="103" spans="1:11" ht="36" customHeight="1" x14ac:dyDescent="0.25">
      <c r="A103" s="7">
        <v>2</v>
      </c>
      <c r="B103" s="3" t="s">
        <v>64</v>
      </c>
      <c r="C103" s="3" t="s">
        <v>461</v>
      </c>
      <c r="D103" s="23">
        <f t="shared" si="13"/>
        <v>195.00749999999999</v>
      </c>
      <c r="E103" s="23">
        <f t="shared" si="14"/>
        <v>50.55749999999999</v>
      </c>
      <c r="F103" s="2">
        <f t="shared" si="17"/>
        <v>144.44999999999999</v>
      </c>
      <c r="G103" s="2">
        <f t="shared" ref="G103:G143" si="18">+H103*50%</f>
        <v>48.15</v>
      </c>
      <c r="H103" s="3">
        <v>96.3</v>
      </c>
      <c r="I103" s="3" t="s">
        <v>410</v>
      </c>
      <c r="J103" s="3" t="s">
        <v>270</v>
      </c>
      <c r="K103" s="7"/>
    </row>
    <row r="104" spans="1:11" ht="36" customHeight="1" x14ac:dyDescent="0.25">
      <c r="A104" s="7">
        <v>3</v>
      </c>
      <c r="B104" s="3" t="s">
        <v>65</v>
      </c>
      <c r="C104" s="3" t="s">
        <v>462</v>
      </c>
      <c r="D104" s="23">
        <f t="shared" si="13"/>
        <v>195.00749999999999</v>
      </c>
      <c r="E104" s="23">
        <f t="shared" si="14"/>
        <v>50.55749999999999</v>
      </c>
      <c r="F104" s="2">
        <f t="shared" si="17"/>
        <v>144.44999999999999</v>
      </c>
      <c r="G104" s="2">
        <f t="shared" si="18"/>
        <v>48.15</v>
      </c>
      <c r="H104" s="3">
        <v>96.3</v>
      </c>
      <c r="I104" s="3" t="s">
        <v>409</v>
      </c>
      <c r="J104" s="3" t="s">
        <v>271</v>
      </c>
      <c r="K104" s="7"/>
    </row>
    <row r="105" spans="1:11" ht="36" customHeight="1" x14ac:dyDescent="0.25">
      <c r="A105" s="7">
        <v>4</v>
      </c>
      <c r="B105" s="3" t="s">
        <v>66</v>
      </c>
      <c r="C105" s="3" t="s">
        <v>463</v>
      </c>
      <c r="D105" s="23">
        <f t="shared" si="13"/>
        <v>195.00749999999999</v>
      </c>
      <c r="E105" s="23">
        <f t="shared" si="14"/>
        <v>50.55749999999999</v>
      </c>
      <c r="F105" s="2">
        <f t="shared" si="17"/>
        <v>144.44999999999999</v>
      </c>
      <c r="G105" s="2">
        <f t="shared" si="18"/>
        <v>48.15</v>
      </c>
      <c r="H105" s="3">
        <v>96.3</v>
      </c>
      <c r="I105" s="3" t="s">
        <v>412</v>
      </c>
      <c r="J105" s="3" t="s">
        <v>272</v>
      </c>
      <c r="K105" s="7"/>
    </row>
    <row r="106" spans="1:11" ht="36" customHeight="1" x14ac:dyDescent="0.25">
      <c r="A106" s="7">
        <v>5</v>
      </c>
      <c r="B106" s="3" t="s">
        <v>67</v>
      </c>
      <c r="C106" s="3" t="s">
        <v>464</v>
      </c>
      <c r="D106" s="23">
        <f t="shared" si="13"/>
        <v>228.42</v>
      </c>
      <c r="E106" s="23">
        <f t="shared" si="14"/>
        <v>59.219999999999992</v>
      </c>
      <c r="F106" s="2">
        <f t="shared" si="17"/>
        <v>169.2</v>
      </c>
      <c r="G106" s="2">
        <f t="shared" si="18"/>
        <v>56.4</v>
      </c>
      <c r="H106" s="3">
        <v>112.8</v>
      </c>
      <c r="I106" s="3" t="s">
        <v>415</v>
      </c>
      <c r="J106" s="3" t="s">
        <v>273</v>
      </c>
      <c r="K106" s="7"/>
    </row>
    <row r="107" spans="1:11" ht="36" customHeight="1" x14ac:dyDescent="0.25">
      <c r="A107" s="7">
        <v>6</v>
      </c>
      <c r="B107" s="3" t="s">
        <v>68</v>
      </c>
      <c r="C107" s="3" t="s">
        <v>465</v>
      </c>
      <c r="D107" s="23">
        <f t="shared" si="13"/>
        <v>228.42</v>
      </c>
      <c r="E107" s="23">
        <f t="shared" si="14"/>
        <v>59.219999999999992</v>
      </c>
      <c r="F107" s="2">
        <f t="shared" si="17"/>
        <v>169.2</v>
      </c>
      <c r="G107" s="2">
        <f t="shared" si="18"/>
        <v>56.4</v>
      </c>
      <c r="H107" s="3">
        <v>112.8</v>
      </c>
      <c r="I107" s="3" t="s">
        <v>413</v>
      </c>
      <c r="J107" s="3" t="s">
        <v>274</v>
      </c>
      <c r="K107" s="7"/>
    </row>
    <row r="108" spans="1:11" ht="36" customHeight="1" x14ac:dyDescent="0.25">
      <c r="A108" s="7">
        <v>7</v>
      </c>
      <c r="B108" s="3" t="s">
        <v>519</v>
      </c>
      <c r="C108" s="3" t="s">
        <v>466</v>
      </c>
      <c r="D108" s="23">
        <f t="shared" si="13"/>
        <v>242.59499999999997</v>
      </c>
      <c r="E108" s="23">
        <f t="shared" si="14"/>
        <v>62.894999999999989</v>
      </c>
      <c r="F108" s="2">
        <f t="shared" si="17"/>
        <v>179.7</v>
      </c>
      <c r="G108" s="2">
        <f t="shared" si="18"/>
        <v>59.9</v>
      </c>
      <c r="H108" s="3">
        <v>119.8</v>
      </c>
      <c r="I108" s="3" t="s">
        <v>414</v>
      </c>
      <c r="J108" s="3" t="s">
        <v>504</v>
      </c>
      <c r="K108" s="7"/>
    </row>
    <row r="109" spans="1:11" ht="36" customHeight="1" x14ac:dyDescent="0.25">
      <c r="A109" s="5">
        <v>8</v>
      </c>
      <c r="B109" s="1" t="s">
        <v>81</v>
      </c>
      <c r="C109" s="1" t="s">
        <v>103</v>
      </c>
      <c r="D109" s="1" t="s">
        <v>104</v>
      </c>
      <c r="E109" s="1" t="s">
        <v>104</v>
      </c>
      <c r="F109" s="1" t="s">
        <v>104</v>
      </c>
      <c r="G109" s="1" t="s">
        <v>104</v>
      </c>
      <c r="H109" s="1" t="s">
        <v>104</v>
      </c>
      <c r="I109" s="1" t="s">
        <v>102</v>
      </c>
      <c r="J109" s="1" t="s">
        <v>275</v>
      </c>
      <c r="K109" s="5">
        <v>22</v>
      </c>
    </row>
    <row r="110" spans="1:11" ht="36" customHeight="1" x14ac:dyDescent="0.25">
      <c r="A110" s="7">
        <v>1</v>
      </c>
      <c r="B110" s="3" t="s">
        <v>280</v>
      </c>
      <c r="C110" s="3" t="s">
        <v>467</v>
      </c>
      <c r="D110" s="23">
        <f t="shared" si="13"/>
        <v>228.42</v>
      </c>
      <c r="E110" s="23">
        <f t="shared" si="14"/>
        <v>59.219999999999992</v>
      </c>
      <c r="F110" s="2">
        <f t="shared" ref="F110:F114" si="19">+G110+H110</f>
        <v>169.2</v>
      </c>
      <c r="G110" s="2">
        <f t="shared" si="18"/>
        <v>56.4</v>
      </c>
      <c r="H110" s="3">
        <v>112.8</v>
      </c>
      <c r="I110" s="3" t="s">
        <v>416</v>
      </c>
      <c r="J110" s="3" t="s">
        <v>276</v>
      </c>
      <c r="K110" s="7"/>
    </row>
    <row r="111" spans="1:11" ht="36" customHeight="1" x14ac:dyDescent="0.25">
      <c r="A111" s="7">
        <v>2</v>
      </c>
      <c r="B111" s="3" t="s">
        <v>281</v>
      </c>
      <c r="C111" s="3" t="s">
        <v>468</v>
      </c>
      <c r="D111" s="23">
        <f t="shared" si="13"/>
        <v>228.42</v>
      </c>
      <c r="E111" s="23">
        <f t="shared" si="14"/>
        <v>59.219999999999992</v>
      </c>
      <c r="F111" s="2">
        <f t="shared" si="19"/>
        <v>169.2</v>
      </c>
      <c r="G111" s="2">
        <f t="shared" si="18"/>
        <v>56.4</v>
      </c>
      <c r="H111" s="3">
        <v>112.8</v>
      </c>
      <c r="I111" s="3" t="s">
        <v>417</v>
      </c>
      <c r="J111" s="3" t="s">
        <v>277</v>
      </c>
      <c r="K111" s="7"/>
    </row>
    <row r="112" spans="1:11" ht="36" customHeight="1" x14ac:dyDescent="0.25">
      <c r="A112" s="7">
        <v>3</v>
      </c>
      <c r="B112" s="3" t="s">
        <v>282</v>
      </c>
      <c r="C112" s="3" t="s">
        <v>469</v>
      </c>
      <c r="D112" s="23">
        <f t="shared" si="13"/>
        <v>228.42</v>
      </c>
      <c r="E112" s="23">
        <f t="shared" si="14"/>
        <v>59.219999999999992</v>
      </c>
      <c r="F112" s="2">
        <f t="shared" si="19"/>
        <v>169.2</v>
      </c>
      <c r="G112" s="2">
        <f t="shared" si="18"/>
        <v>56.4</v>
      </c>
      <c r="H112" s="3">
        <v>112.8</v>
      </c>
      <c r="I112" s="3" t="s">
        <v>418</v>
      </c>
      <c r="J112" s="3" t="s">
        <v>278</v>
      </c>
      <c r="K112" s="7"/>
    </row>
    <row r="113" spans="1:11" ht="36" customHeight="1" x14ac:dyDescent="0.25">
      <c r="A113" s="7">
        <v>4</v>
      </c>
      <c r="B113" s="3" t="s">
        <v>283</v>
      </c>
      <c r="C113" s="3" t="s">
        <v>470</v>
      </c>
      <c r="D113" s="23">
        <f t="shared" si="13"/>
        <v>228.42</v>
      </c>
      <c r="E113" s="23">
        <f t="shared" si="14"/>
        <v>59.219999999999992</v>
      </c>
      <c r="F113" s="2">
        <f t="shared" si="19"/>
        <v>169.2</v>
      </c>
      <c r="G113" s="2">
        <f t="shared" si="18"/>
        <v>56.4</v>
      </c>
      <c r="H113" s="3">
        <v>112.8</v>
      </c>
      <c r="I113" s="3" t="s">
        <v>419</v>
      </c>
      <c r="J113" s="3" t="s">
        <v>279</v>
      </c>
      <c r="K113" s="7"/>
    </row>
    <row r="114" spans="1:11" ht="36" customHeight="1" x14ac:dyDescent="0.25">
      <c r="A114" s="7">
        <v>5</v>
      </c>
      <c r="B114" s="3" t="s">
        <v>284</v>
      </c>
      <c r="C114" s="3" t="s">
        <v>471</v>
      </c>
      <c r="D114" s="23">
        <f t="shared" si="13"/>
        <v>298.6875</v>
      </c>
      <c r="E114" s="23">
        <f t="shared" si="14"/>
        <v>77.4375</v>
      </c>
      <c r="F114" s="2">
        <f t="shared" si="19"/>
        <v>221.25</v>
      </c>
      <c r="G114" s="2">
        <f t="shared" si="18"/>
        <v>73.75</v>
      </c>
      <c r="H114" s="3">
        <v>147.5</v>
      </c>
      <c r="I114" s="3" t="s">
        <v>420</v>
      </c>
      <c r="J114" s="3" t="s">
        <v>285</v>
      </c>
      <c r="K114" s="7"/>
    </row>
    <row r="115" spans="1:11" ht="36" hidden="1" customHeight="1" x14ac:dyDescent="0.25">
      <c r="A115" s="7"/>
      <c r="B115" s="3"/>
      <c r="C115" s="3"/>
      <c r="D115" s="23">
        <f t="shared" si="13"/>
        <v>0</v>
      </c>
      <c r="E115" s="23">
        <f t="shared" si="14"/>
        <v>0</v>
      </c>
      <c r="F115" s="2"/>
      <c r="G115" s="2">
        <f t="shared" si="18"/>
        <v>63.85</v>
      </c>
      <c r="H115" s="3">
        <v>127.7</v>
      </c>
      <c r="I115" s="3" t="s">
        <v>421</v>
      </c>
      <c r="J115" s="3" t="s">
        <v>518</v>
      </c>
      <c r="K115" s="7"/>
    </row>
    <row r="116" spans="1:11" ht="36" customHeight="1" x14ac:dyDescent="0.25">
      <c r="A116" s="5">
        <v>9</v>
      </c>
      <c r="B116" s="1" t="s">
        <v>69</v>
      </c>
      <c r="C116" s="1" t="s">
        <v>103</v>
      </c>
      <c r="D116" s="1" t="s">
        <v>104</v>
      </c>
      <c r="E116" s="1" t="s">
        <v>104</v>
      </c>
      <c r="F116" s="1" t="s">
        <v>104</v>
      </c>
      <c r="G116" s="1" t="s">
        <v>104</v>
      </c>
      <c r="H116" s="1" t="s">
        <v>104</v>
      </c>
      <c r="I116" s="1" t="s">
        <v>102</v>
      </c>
      <c r="J116" s="1" t="s">
        <v>286</v>
      </c>
      <c r="K116" s="5">
        <v>23</v>
      </c>
    </row>
    <row r="117" spans="1:11" ht="36" customHeight="1" x14ac:dyDescent="0.25">
      <c r="A117" s="7">
        <v>1</v>
      </c>
      <c r="B117" s="3" t="s">
        <v>70</v>
      </c>
      <c r="C117" s="3" t="s">
        <v>472</v>
      </c>
      <c r="D117" s="23">
        <f t="shared" si="13"/>
        <v>194.80500000000001</v>
      </c>
      <c r="E117" s="23">
        <f t="shared" si="14"/>
        <v>50.505000000000003</v>
      </c>
      <c r="F117" s="2">
        <f t="shared" ref="F117:F121" si="20">+G117+H117</f>
        <v>144.30000000000001</v>
      </c>
      <c r="G117" s="2">
        <f t="shared" si="18"/>
        <v>48.1</v>
      </c>
      <c r="H117" s="3">
        <v>96.2</v>
      </c>
      <c r="I117" s="3" t="s">
        <v>422</v>
      </c>
      <c r="J117" s="3" t="s">
        <v>287</v>
      </c>
      <c r="K117" s="7"/>
    </row>
    <row r="118" spans="1:11" ht="36" customHeight="1" x14ac:dyDescent="0.25">
      <c r="A118" s="7">
        <v>2</v>
      </c>
      <c r="B118" s="3" t="s">
        <v>71</v>
      </c>
      <c r="C118" s="3" t="s">
        <v>473</v>
      </c>
      <c r="D118" s="23">
        <f t="shared" si="13"/>
        <v>199.26000000000002</v>
      </c>
      <c r="E118" s="23">
        <f t="shared" si="14"/>
        <v>51.660000000000004</v>
      </c>
      <c r="F118" s="2">
        <f t="shared" si="20"/>
        <v>147.60000000000002</v>
      </c>
      <c r="G118" s="2">
        <f t="shared" si="18"/>
        <v>49.2</v>
      </c>
      <c r="H118" s="3">
        <v>98.4</v>
      </c>
      <c r="I118" s="3" t="s">
        <v>423</v>
      </c>
      <c r="J118" s="3" t="s">
        <v>288</v>
      </c>
      <c r="K118" s="7"/>
    </row>
    <row r="119" spans="1:11" ht="36" customHeight="1" x14ac:dyDescent="0.25">
      <c r="A119" s="7">
        <v>3</v>
      </c>
      <c r="B119" s="3" t="s">
        <v>72</v>
      </c>
      <c r="C119" s="3" t="s">
        <v>474</v>
      </c>
      <c r="D119" s="23">
        <f t="shared" si="13"/>
        <v>199.86750000000001</v>
      </c>
      <c r="E119" s="23">
        <f t="shared" si="14"/>
        <v>51.817500000000003</v>
      </c>
      <c r="F119" s="2">
        <f t="shared" si="20"/>
        <v>148.05000000000001</v>
      </c>
      <c r="G119" s="2">
        <f t="shared" si="18"/>
        <v>49.35</v>
      </c>
      <c r="H119" s="3">
        <v>98.7</v>
      </c>
      <c r="I119" s="3" t="s">
        <v>424</v>
      </c>
      <c r="J119" s="3" t="s">
        <v>289</v>
      </c>
      <c r="K119" s="7"/>
    </row>
    <row r="120" spans="1:11" ht="36" customHeight="1" x14ac:dyDescent="0.25">
      <c r="A120" s="7">
        <v>4</v>
      </c>
      <c r="B120" s="3" t="s">
        <v>73</v>
      </c>
      <c r="C120" s="3" t="s">
        <v>475</v>
      </c>
      <c r="D120" s="23">
        <f t="shared" si="13"/>
        <v>199.86750000000001</v>
      </c>
      <c r="E120" s="23">
        <f t="shared" si="14"/>
        <v>51.817500000000003</v>
      </c>
      <c r="F120" s="2">
        <f t="shared" si="20"/>
        <v>148.05000000000001</v>
      </c>
      <c r="G120" s="2">
        <f t="shared" si="18"/>
        <v>49.35</v>
      </c>
      <c r="H120" s="3">
        <v>98.7</v>
      </c>
      <c r="I120" s="3" t="s">
        <v>425</v>
      </c>
      <c r="J120" s="3" t="s">
        <v>290</v>
      </c>
      <c r="K120" s="7"/>
    </row>
    <row r="121" spans="1:11" ht="36" customHeight="1" x14ac:dyDescent="0.25">
      <c r="A121" s="7">
        <v>5</v>
      </c>
      <c r="B121" s="3" t="s">
        <v>74</v>
      </c>
      <c r="C121" s="3" t="s">
        <v>476</v>
      </c>
      <c r="D121" s="23">
        <f t="shared" si="13"/>
        <v>199.86750000000001</v>
      </c>
      <c r="E121" s="23">
        <f t="shared" si="14"/>
        <v>51.817500000000003</v>
      </c>
      <c r="F121" s="2">
        <f t="shared" si="20"/>
        <v>148.05000000000001</v>
      </c>
      <c r="G121" s="2">
        <f t="shared" si="18"/>
        <v>49.35</v>
      </c>
      <c r="H121" s="3">
        <v>98.7</v>
      </c>
      <c r="I121" s="3" t="s">
        <v>426</v>
      </c>
      <c r="J121" s="3" t="s">
        <v>291</v>
      </c>
      <c r="K121" s="7"/>
    </row>
    <row r="122" spans="1:11" ht="36" hidden="1" customHeight="1" x14ac:dyDescent="0.25">
      <c r="A122" s="7">
        <v>6</v>
      </c>
      <c r="B122" s="3"/>
      <c r="C122" s="3"/>
      <c r="D122" s="23">
        <f t="shared" si="13"/>
        <v>0</v>
      </c>
      <c r="E122" s="23">
        <f t="shared" si="14"/>
        <v>0</v>
      </c>
      <c r="F122" s="2"/>
      <c r="G122" s="2">
        <f t="shared" si="18"/>
        <v>56.35</v>
      </c>
      <c r="H122" s="3">
        <v>112.7</v>
      </c>
      <c r="I122" s="3" t="s">
        <v>427</v>
      </c>
      <c r="J122" s="3" t="s">
        <v>517</v>
      </c>
      <c r="K122" s="7"/>
    </row>
    <row r="123" spans="1:11" ht="36" customHeight="1" x14ac:dyDescent="0.25">
      <c r="A123" s="7">
        <v>7</v>
      </c>
      <c r="B123" s="3" t="s">
        <v>76</v>
      </c>
      <c r="C123" s="3" t="s">
        <v>477</v>
      </c>
      <c r="D123" s="23">
        <f t="shared" si="13"/>
        <v>167.26499999999999</v>
      </c>
      <c r="E123" s="23">
        <f t="shared" si="14"/>
        <v>43.364999999999995</v>
      </c>
      <c r="F123" s="2">
        <f>+G123+H123</f>
        <v>123.89999999999999</v>
      </c>
      <c r="G123" s="2">
        <f t="shared" si="18"/>
        <v>41.3</v>
      </c>
      <c r="H123" s="3">
        <v>82.6</v>
      </c>
      <c r="I123" s="3" t="s">
        <v>428</v>
      </c>
      <c r="J123" s="3" t="s">
        <v>292</v>
      </c>
      <c r="K123" s="7"/>
    </row>
    <row r="124" spans="1:11" ht="36" customHeight="1" x14ac:dyDescent="0.25">
      <c r="A124" s="7">
        <v>8</v>
      </c>
      <c r="B124" s="3" t="s">
        <v>77</v>
      </c>
      <c r="C124" s="3" t="s">
        <v>478</v>
      </c>
      <c r="D124" s="23">
        <f t="shared" si="13"/>
        <v>194.80500000000001</v>
      </c>
      <c r="E124" s="23">
        <f t="shared" si="14"/>
        <v>50.505000000000003</v>
      </c>
      <c r="F124" s="2">
        <f>+G124+H124</f>
        <v>144.30000000000001</v>
      </c>
      <c r="G124" s="2">
        <f t="shared" si="18"/>
        <v>48.1</v>
      </c>
      <c r="H124" s="3">
        <v>96.2</v>
      </c>
      <c r="I124" s="3" t="s">
        <v>429</v>
      </c>
      <c r="J124" s="3" t="s">
        <v>293</v>
      </c>
      <c r="K124" s="7"/>
    </row>
    <row r="125" spans="1:11" ht="36" customHeight="1" x14ac:dyDescent="0.25">
      <c r="A125" s="7">
        <v>9</v>
      </c>
      <c r="B125" s="3" t="s">
        <v>78</v>
      </c>
      <c r="C125" s="3" t="s">
        <v>479</v>
      </c>
      <c r="D125" s="23">
        <f t="shared" si="13"/>
        <v>163.01249999999999</v>
      </c>
      <c r="E125" s="23">
        <f t="shared" si="14"/>
        <v>42.262499999999996</v>
      </c>
      <c r="F125" s="2">
        <f>+G125+H125</f>
        <v>120.75</v>
      </c>
      <c r="G125" s="2">
        <f t="shared" si="18"/>
        <v>40.25</v>
      </c>
      <c r="H125" s="3">
        <v>80.5</v>
      </c>
      <c r="I125" s="3" t="s">
        <v>430</v>
      </c>
      <c r="J125" s="3" t="s">
        <v>294</v>
      </c>
      <c r="K125" s="7"/>
    </row>
    <row r="126" spans="1:11" ht="36" customHeight="1" x14ac:dyDescent="0.25">
      <c r="A126" s="5">
        <v>10</v>
      </c>
      <c r="B126" s="1" t="s">
        <v>82</v>
      </c>
      <c r="C126" s="1" t="s">
        <v>103</v>
      </c>
      <c r="D126" s="1" t="s">
        <v>104</v>
      </c>
      <c r="E126" s="1" t="s">
        <v>104</v>
      </c>
      <c r="F126" s="1" t="s">
        <v>104</v>
      </c>
      <c r="G126" s="1" t="s">
        <v>104</v>
      </c>
      <c r="H126" s="1" t="s">
        <v>104</v>
      </c>
      <c r="I126" s="1" t="s">
        <v>102</v>
      </c>
      <c r="J126" s="1" t="s">
        <v>295</v>
      </c>
      <c r="K126" s="5">
        <v>25</v>
      </c>
    </row>
    <row r="127" spans="1:11" ht="36" customHeight="1" x14ac:dyDescent="0.25">
      <c r="A127" s="6">
        <v>1</v>
      </c>
      <c r="B127" s="2" t="s">
        <v>90</v>
      </c>
      <c r="C127" s="2" t="s">
        <v>480</v>
      </c>
      <c r="D127" s="23">
        <f t="shared" si="13"/>
        <v>257.17500000000001</v>
      </c>
      <c r="E127" s="23">
        <f t="shared" si="14"/>
        <v>66.674999999999997</v>
      </c>
      <c r="F127" s="2">
        <f t="shared" ref="F127:F135" si="21">+G127+H127</f>
        <v>190.5</v>
      </c>
      <c r="G127" s="2">
        <f t="shared" si="18"/>
        <v>63.5</v>
      </c>
      <c r="H127" s="2">
        <v>127</v>
      </c>
      <c r="I127" s="2" t="s">
        <v>431</v>
      </c>
      <c r="J127" s="2" t="s">
        <v>296</v>
      </c>
      <c r="K127" s="6"/>
    </row>
    <row r="128" spans="1:11" ht="36" customHeight="1" x14ac:dyDescent="0.25">
      <c r="A128" s="6">
        <v>2</v>
      </c>
      <c r="B128" s="2" t="s">
        <v>91</v>
      </c>
      <c r="C128" s="2" t="s">
        <v>481</v>
      </c>
      <c r="D128" s="23">
        <f t="shared" si="13"/>
        <v>257.17500000000001</v>
      </c>
      <c r="E128" s="23">
        <f t="shared" si="14"/>
        <v>66.674999999999997</v>
      </c>
      <c r="F128" s="2">
        <f t="shared" si="21"/>
        <v>190.5</v>
      </c>
      <c r="G128" s="2">
        <f t="shared" si="18"/>
        <v>63.5</v>
      </c>
      <c r="H128" s="2">
        <v>127</v>
      </c>
      <c r="I128" s="2" t="s">
        <v>432</v>
      </c>
      <c r="J128" s="2" t="s">
        <v>297</v>
      </c>
      <c r="K128" s="6"/>
    </row>
    <row r="129" spans="1:11" ht="36" customHeight="1" x14ac:dyDescent="0.25">
      <c r="A129" s="6">
        <v>3</v>
      </c>
      <c r="B129" s="2" t="s">
        <v>92</v>
      </c>
      <c r="C129" s="2" t="s">
        <v>482</v>
      </c>
      <c r="D129" s="23">
        <f t="shared" si="13"/>
        <v>257.17500000000001</v>
      </c>
      <c r="E129" s="23">
        <f t="shared" si="14"/>
        <v>66.674999999999997</v>
      </c>
      <c r="F129" s="2">
        <f t="shared" si="21"/>
        <v>190.5</v>
      </c>
      <c r="G129" s="2">
        <f t="shared" si="18"/>
        <v>63.5</v>
      </c>
      <c r="H129" s="2">
        <v>127</v>
      </c>
      <c r="I129" s="2" t="s">
        <v>433</v>
      </c>
      <c r="J129" s="2" t="s">
        <v>298</v>
      </c>
      <c r="K129" s="6"/>
    </row>
    <row r="130" spans="1:11" ht="36" customHeight="1" x14ac:dyDescent="0.25">
      <c r="A130" s="6">
        <v>4</v>
      </c>
      <c r="B130" s="2" t="s">
        <v>93</v>
      </c>
      <c r="C130" s="2" t="s">
        <v>483</v>
      </c>
      <c r="D130" s="23">
        <f t="shared" si="13"/>
        <v>257.17500000000001</v>
      </c>
      <c r="E130" s="23">
        <f t="shared" si="14"/>
        <v>66.674999999999997</v>
      </c>
      <c r="F130" s="2">
        <f t="shared" si="21"/>
        <v>190.5</v>
      </c>
      <c r="G130" s="2">
        <f t="shared" si="18"/>
        <v>63.5</v>
      </c>
      <c r="H130" s="2">
        <v>127</v>
      </c>
      <c r="I130" s="2" t="s">
        <v>434</v>
      </c>
      <c r="J130" s="2" t="s">
        <v>299</v>
      </c>
      <c r="K130" s="6"/>
    </row>
    <row r="131" spans="1:11" ht="36" customHeight="1" x14ac:dyDescent="0.25">
      <c r="A131" s="6">
        <v>5</v>
      </c>
      <c r="B131" s="2" t="s">
        <v>94</v>
      </c>
      <c r="C131" s="2" t="s">
        <v>94</v>
      </c>
      <c r="D131" s="23">
        <f t="shared" si="13"/>
        <v>257.17500000000001</v>
      </c>
      <c r="E131" s="23">
        <f t="shared" si="14"/>
        <v>66.674999999999997</v>
      </c>
      <c r="F131" s="2">
        <f t="shared" si="21"/>
        <v>190.5</v>
      </c>
      <c r="G131" s="2">
        <f t="shared" si="18"/>
        <v>63.5</v>
      </c>
      <c r="H131" s="2">
        <v>127</v>
      </c>
      <c r="I131" s="2" t="s">
        <v>435</v>
      </c>
      <c r="J131" s="2" t="s">
        <v>300</v>
      </c>
      <c r="K131" s="6"/>
    </row>
    <row r="132" spans="1:11" ht="36" customHeight="1" x14ac:dyDescent="0.25">
      <c r="A132" s="6">
        <v>6</v>
      </c>
      <c r="B132" s="2" t="s">
        <v>95</v>
      </c>
      <c r="C132" s="2" t="s">
        <v>484</v>
      </c>
      <c r="D132" s="23">
        <f t="shared" si="13"/>
        <v>257.17500000000001</v>
      </c>
      <c r="E132" s="23">
        <f t="shared" si="14"/>
        <v>66.674999999999997</v>
      </c>
      <c r="F132" s="2">
        <f t="shared" si="21"/>
        <v>190.5</v>
      </c>
      <c r="G132" s="2">
        <f t="shared" si="18"/>
        <v>63.5</v>
      </c>
      <c r="H132" s="2">
        <v>127</v>
      </c>
      <c r="I132" s="4" t="s">
        <v>436</v>
      </c>
      <c r="J132" s="2" t="s">
        <v>301</v>
      </c>
      <c r="K132" s="6"/>
    </row>
    <row r="133" spans="1:11" ht="36" customHeight="1" x14ac:dyDescent="0.25">
      <c r="A133" s="6">
        <v>7</v>
      </c>
      <c r="B133" s="2" t="s">
        <v>96</v>
      </c>
      <c r="C133" s="2" t="s">
        <v>485</v>
      </c>
      <c r="D133" s="23">
        <f t="shared" si="13"/>
        <v>257.17500000000001</v>
      </c>
      <c r="E133" s="23">
        <f t="shared" si="14"/>
        <v>66.674999999999997</v>
      </c>
      <c r="F133" s="2">
        <f t="shared" si="21"/>
        <v>190.5</v>
      </c>
      <c r="G133" s="2">
        <f t="shared" si="18"/>
        <v>63.5</v>
      </c>
      <c r="H133" s="2">
        <v>127</v>
      </c>
      <c r="I133" s="2" t="s">
        <v>437</v>
      </c>
      <c r="J133" s="2" t="s">
        <v>302</v>
      </c>
      <c r="K133" s="6"/>
    </row>
    <row r="134" spans="1:11" ht="36" customHeight="1" x14ac:dyDescent="0.25">
      <c r="A134" s="6">
        <v>8</v>
      </c>
      <c r="B134" s="2" t="s">
        <v>97</v>
      </c>
      <c r="C134" s="2" t="s">
        <v>486</v>
      </c>
      <c r="D134" s="23">
        <f t="shared" si="13"/>
        <v>264.66749999999996</v>
      </c>
      <c r="E134" s="23">
        <f t="shared" si="14"/>
        <v>68.617499999999993</v>
      </c>
      <c r="F134" s="2">
        <f t="shared" si="21"/>
        <v>196.04999999999998</v>
      </c>
      <c r="G134" s="2">
        <f t="shared" si="18"/>
        <v>65.349999999999994</v>
      </c>
      <c r="H134" s="2">
        <v>130.69999999999999</v>
      </c>
      <c r="I134" s="2" t="s">
        <v>438</v>
      </c>
      <c r="J134" s="2" t="s">
        <v>303</v>
      </c>
      <c r="K134" s="6"/>
    </row>
    <row r="135" spans="1:11" ht="36" customHeight="1" x14ac:dyDescent="0.25">
      <c r="A135" s="6">
        <v>9</v>
      </c>
      <c r="B135" s="2" t="s">
        <v>98</v>
      </c>
      <c r="C135" s="2" t="s">
        <v>487</v>
      </c>
      <c r="D135" s="23">
        <f t="shared" si="13"/>
        <v>264.66749999999996</v>
      </c>
      <c r="E135" s="23">
        <f t="shared" si="14"/>
        <v>68.617499999999993</v>
      </c>
      <c r="F135" s="2">
        <f t="shared" si="21"/>
        <v>196.04999999999998</v>
      </c>
      <c r="G135" s="2">
        <f t="shared" si="18"/>
        <v>65.349999999999994</v>
      </c>
      <c r="H135" s="2">
        <v>130.69999999999999</v>
      </c>
      <c r="I135" s="2" t="s">
        <v>439</v>
      </c>
      <c r="J135" s="2" t="s">
        <v>304</v>
      </c>
      <c r="K135" s="6"/>
    </row>
    <row r="136" spans="1:11" ht="36" customHeight="1" x14ac:dyDescent="0.25">
      <c r="A136" s="6">
        <v>10</v>
      </c>
      <c r="B136" s="2" t="s">
        <v>671</v>
      </c>
      <c r="C136" s="26" t="s">
        <v>672</v>
      </c>
      <c r="D136" s="23">
        <f t="shared" ref="D136:D143" si="22">+E136+F136</f>
        <v>282.48750000000001</v>
      </c>
      <c r="E136" s="23">
        <f t="shared" si="14"/>
        <v>73.237499999999997</v>
      </c>
      <c r="F136" s="2">
        <f t="shared" ref="F136:F143" si="23">+G136+H136</f>
        <v>209.25</v>
      </c>
      <c r="G136" s="2">
        <f t="shared" si="18"/>
        <v>69.75</v>
      </c>
      <c r="H136" s="2">
        <v>139.5</v>
      </c>
      <c r="I136" s="2" t="s">
        <v>686</v>
      </c>
      <c r="J136" s="2" t="s">
        <v>685</v>
      </c>
      <c r="K136" s="6"/>
    </row>
    <row r="137" spans="1:11" ht="36" customHeight="1" x14ac:dyDescent="0.25">
      <c r="A137" s="6">
        <v>11</v>
      </c>
      <c r="B137" s="2" t="s">
        <v>674</v>
      </c>
      <c r="C137" s="26" t="s">
        <v>673</v>
      </c>
      <c r="D137" s="23">
        <f t="shared" si="22"/>
        <v>298.89</v>
      </c>
      <c r="E137" s="23">
        <f t="shared" si="14"/>
        <v>77.489999999999981</v>
      </c>
      <c r="F137" s="2">
        <f t="shared" si="23"/>
        <v>221.39999999999998</v>
      </c>
      <c r="G137" s="2">
        <f t="shared" si="18"/>
        <v>73.8</v>
      </c>
      <c r="H137" s="2">
        <v>147.6</v>
      </c>
      <c r="I137" s="2" t="s">
        <v>688</v>
      </c>
      <c r="J137" s="2" t="s">
        <v>687</v>
      </c>
      <c r="K137" s="6"/>
    </row>
    <row r="138" spans="1:11" ht="36" customHeight="1" x14ac:dyDescent="0.25">
      <c r="A138" s="6">
        <v>12</v>
      </c>
      <c r="B138" s="2" t="s">
        <v>663</v>
      </c>
      <c r="C138" s="26" t="s">
        <v>662</v>
      </c>
      <c r="D138" s="23">
        <f t="shared" si="22"/>
        <v>282.48750000000001</v>
      </c>
      <c r="E138" s="23">
        <f t="shared" si="14"/>
        <v>73.237499999999997</v>
      </c>
      <c r="F138" s="2">
        <f t="shared" si="23"/>
        <v>209.25</v>
      </c>
      <c r="G138" s="2">
        <f t="shared" si="18"/>
        <v>69.75</v>
      </c>
      <c r="H138" s="2">
        <v>139.5</v>
      </c>
      <c r="I138" s="2" t="s">
        <v>678</v>
      </c>
      <c r="J138" s="2" t="s">
        <v>677</v>
      </c>
      <c r="K138" s="6"/>
    </row>
    <row r="139" spans="1:11" ht="36" customHeight="1" x14ac:dyDescent="0.25">
      <c r="A139" s="6">
        <v>13</v>
      </c>
      <c r="B139" s="2" t="s">
        <v>664</v>
      </c>
      <c r="C139" s="26" t="s">
        <v>665</v>
      </c>
      <c r="D139" s="23">
        <f t="shared" si="22"/>
        <v>298.89</v>
      </c>
      <c r="E139" s="23">
        <f t="shared" si="14"/>
        <v>77.489999999999981</v>
      </c>
      <c r="F139" s="2">
        <f t="shared" si="23"/>
        <v>221.39999999999998</v>
      </c>
      <c r="G139" s="2">
        <f t="shared" si="18"/>
        <v>73.8</v>
      </c>
      <c r="H139" s="2">
        <v>147.6</v>
      </c>
      <c r="I139" s="2" t="s">
        <v>680</v>
      </c>
      <c r="J139" s="2" t="s">
        <v>679</v>
      </c>
      <c r="K139" s="6"/>
    </row>
    <row r="140" spans="1:11" ht="36" customHeight="1" x14ac:dyDescent="0.25">
      <c r="A140" s="6">
        <v>14</v>
      </c>
      <c r="B140" s="2" t="s">
        <v>666</v>
      </c>
      <c r="C140" s="26" t="s">
        <v>667</v>
      </c>
      <c r="D140" s="23">
        <f t="shared" si="22"/>
        <v>309.01499999999999</v>
      </c>
      <c r="E140" s="23">
        <f t="shared" si="14"/>
        <v>80.114999999999981</v>
      </c>
      <c r="F140" s="2">
        <f t="shared" si="23"/>
        <v>228.89999999999998</v>
      </c>
      <c r="G140" s="2">
        <f t="shared" si="18"/>
        <v>76.3</v>
      </c>
      <c r="H140" s="2">
        <v>152.6</v>
      </c>
      <c r="I140" s="2" t="s">
        <v>682</v>
      </c>
      <c r="J140" s="2" t="s">
        <v>681</v>
      </c>
      <c r="K140" s="6"/>
    </row>
    <row r="141" spans="1:11" ht="36" customHeight="1" x14ac:dyDescent="0.25">
      <c r="A141" s="6">
        <v>15</v>
      </c>
      <c r="B141" s="2" t="s">
        <v>668</v>
      </c>
      <c r="C141" s="26" t="s">
        <v>669</v>
      </c>
      <c r="D141" s="23">
        <f t="shared" ref="D141" si="24">+E141+F141</f>
        <v>329.26499999999999</v>
      </c>
      <c r="E141" s="23">
        <f t="shared" ref="E141" si="25">+F141*35%</f>
        <v>85.364999999999981</v>
      </c>
      <c r="F141" s="2">
        <f t="shared" ref="F141" si="26">+G141+H141</f>
        <v>243.89999999999998</v>
      </c>
      <c r="G141" s="2">
        <f t="shared" ref="G141" si="27">+H141*50%</f>
        <v>81.3</v>
      </c>
      <c r="H141" s="2">
        <v>162.6</v>
      </c>
      <c r="I141" s="2" t="s">
        <v>684</v>
      </c>
      <c r="J141" s="2" t="s">
        <v>683</v>
      </c>
      <c r="K141" s="6"/>
    </row>
    <row r="142" spans="1:11" ht="36" customHeight="1" x14ac:dyDescent="0.25">
      <c r="A142" s="6">
        <v>16</v>
      </c>
      <c r="B142" s="2" t="s">
        <v>670</v>
      </c>
      <c r="C142" s="26" t="s">
        <v>661</v>
      </c>
      <c r="D142" s="23">
        <f t="shared" si="22"/>
        <v>282.48750000000001</v>
      </c>
      <c r="E142" s="23">
        <f t="shared" si="14"/>
        <v>73.237499999999997</v>
      </c>
      <c r="F142" s="2">
        <f t="shared" si="23"/>
        <v>209.25</v>
      </c>
      <c r="G142" s="2">
        <f t="shared" si="18"/>
        <v>69.75</v>
      </c>
      <c r="H142" s="2">
        <v>139.5</v>
      </c>
      <c r="I142" s="26" t="s">
        <v>691</v>
      </c>
      <c r="J142" s="2" t="s">
        <v>690</v>
      </c>
      <c r="K142" s="6"/>
    </row>
    <row r="143" spans="1:11" ht="36" customHeight="1" x14ac:dyDescent="0.25">
      <c r="A143" s="6">
        <v>17</v>
      </c>
      <c r="B143" s="2" t="s">
        <v>675</v>
      </c>
      <c r="C143" s="26" t="s">
        <v>676</v>
      </c>
      <c r="D143" s="23">
        <f t="shared" si="22"/>
        <v>112.3875</v>
      </c>
      <c r="E143" s="23">
        <f t="shared" si="14"/>
        <v>29.137499999999999</v>
      </c>
      <c r="F143" s="2">
        <f t="shared" si="23"/>
        <v>83.25</v>
      </c>
      <c r="G143" s="2">
        <f t="shared" si="18"/>
        <v>27.75</v>
      </c>
      <c r="H143" s="2">
        <v>55.5</v>
      </c>
      <c r="I143" s="2" t="s">
        <v>689</v>
      </c>
      <c r="J143" s="2" t="s">
        <v>692</v>
      </c>
      <c r="K143" s="6"/>
    </row>
    <row r="144" spans="1:11" ht="36" customHeight="1" x14ac:dyDescent="0.25">
      <c r="A144" s="5">
        <v>11</v>
      </c>
      <c r="B144" s="1" t="s">
        <v>697</v>
      </c>
      <c r="C144" s="1" t="s">
        <v>103</v>
      </c>
      <c r="D144" s="1" t="s">
        <v>104</v>
      </c>
      <c r="E144" s="1" t="s">
        <v>104</v>
      </c>
      <c r="F144" s="1" t="s">
        <v>104</v>
      </c>
      <c r="G144" s="1" t="s">
        <v>104</v>
      </c>
      <c r="H144" s="1" t="s">
        <v>104</v>
      </c>
      <c r="I144" s="1" t="s">
        <v>102</v>
      </c>
      <c r="J144" s="1" t="s">
        <v>295</v>
      </c>
      <c r="K144" s="5">
        <v>25</v>
      </c>
    </row>
    <row r="145" spans="1:11" ht="36" customHeight="1" x14ac:dyDescent="0.25">
      <c r="A145" s="6">
        <v>1</v>
      </c>
      <c r="B145" s="2" t="s">
        <v>700</v>
      </c>
      <c r="C145" s="26"/>
      <c r="D145" s="23">
        <f t="shared" ref="D145:D147" si="28">+E145+F145</f>
        <v>141.75</v>
      </c>
      <c r="E145" s="23">
        <f t="shared" ref="E145:E147" si="29">+F145*35%</f>
        <v>36.75</v>
      </c>
      <c r="F145" s="2">
        <f t="shared" ref="F145:F147" si="30">+G145+H145</f>
        <v>105</v>
      </c>
      <c r="G145" s="2">
        <f>+H145*40%</f>
        <v>30</v>
      </c>
      <c r="H145" s="2">
        <v>75</v>
      </c>
      <c r="I145" s="2"/>
      <c r="J145" s="2" t="s">
        <v>701</v>
      </c>
      <c r="K145" s="6"/>
    </row>
    <row r="146" spans="1:11" ht="36" customHeight="1" x14ac:dyDescent="0.25">
      <c r="A146" s="6">
        <v>2</v>
      </c>
      <c r="B146" s="2" t="s">
        <v>699</v>
      </c>
      <c r="C146" s="26"/>
      <c r="D146" s="23">
        <f t="shared" si="28"/>
        <v>330.75</v>
      </c>
      <c r="E146" s="23">
        <f t="shared" si="29"/>
        <v>85.75</v>
      </c>
      <c r="F146" s="2">
        <f t="shared" si="30"/>
        <v>245</v>
      </c>
      <c r="G146" s="2">
        <f t="shared" ref="G146:G147" si="31">+H146*40%</f>
        <v>70</v>
      </c>
      <c r="H146" s="2">
        <v>175</v>
      </c>
      <c r="I146" s="2"/>
      <c r="J146" s="2" t="s">
        <v>702</v>
      </c>
      <c r="K146" s="6"/>
    </row>
    <row r="147" spans="1:11" ht="36" customHeight="1" x14ac:dyDescent="0.25">
      <c r="A147" s="6">
        <v>3</v>
      </c>
      <c r="B147" s="2" t="s">
        <v>698</v>
      </c>
      <c r="C147" s="26"/>
      <c r="D147" s="23">
        <f t="shared" si="28"/>
        <v>415.8</v>
      </c>
      <c r="E147" s="23">
        <f t="shared" si="29"/>
        <v>107.8</v>
      </c>
      <c r="F147" s="2">
        <f t="shared" si="30"/>
        <v>308</v>
      </c>
      <c r="G147" s="2">
        <f t="shared" si="31"/>
        <v>88</v>
      </c>
      <c r="H147" s="2">
        <v>220</v>
      </c>
      <c r="I147" s="2"/>
      <c r="J147" s="2" t="s">
        <v>703</v>
      </c>
      <c r="K14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Food</vt:lpstr>
      <vt:lpstr>Beverage</vt:lpstr>
      <vt:lpstr>Food!Print_Area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Kamel ghoneim</cp:lastModifiedBy>
  <cp:lastPrinted>2023-12-01T21:40:34Z</cp:lastPrinted>
  <dcterms:created xsi:type="dcterms:W3CDTF">2015-06-05T18:17:20Z</dcterms:created>
  <dcterms:modified xsi:type="dcterms:W3CDTF">2026-09-12T15:20:33Z</dcterms:modified>
</cp:coreProperties>
</file>